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Notes" sheetId="1" state="visible" r:id="rId1"/>
    <sheet name="Sheet1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</font>
    <font>
      <name val="Arial"/>
      <color theme="1"/>
    </font>
    <font>
      <name val="Arial"/>
      <color rgb="FFFF000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ColWidth="12.63000011444092" defaultRowHeight="15.75"/>
  <cols>
    <col width="3.130000114440918" customWidth="1" style="8" min="1" max="1"/>
    <col width="89.5" customWidth="1" style="8" min="2" max="2"/>
    <col width="13.25" customWidth="1" style="8" min="3" max="3"/>
  </cols>
  <sheetData>
    <row r="1">
      <c r="A1" s="7" t="n"/>
      <c r="B1" s="7" t="inlineStr">
        <is>
          <t>Current Image Progress</t>
        </is>
      </c>
      <c r="C1" s="7" t="inlineStr">
        <is>
          <t>61/74 source files represented</t>
        </is>
      </c>
    </row>
    <row r="2">
      <c r="A2" s="7" t="n"/>
      <c r="B2" s="7" t="inlineStr">
        <is>
          <t>Upcoming</t>
        </is>
      </c>
      <c r="C2" s="7" t="inlineStr">
        <is>
          <t>IMG_7071.HEIC and IMG_7085.HEIC unavailable; IMG_7034–IMG_7044 are covered by the original rows</t>
        </is>
      </c>
    </row>
    <row r="3">
      <c r="A3" s="7" t="n"/>
      <c r="B3" s="7" t="n"/>
    </row>
    <row r="4">
      <c r="A4" s="7" t="inlineStr">
        <is>
          <t>No</t>
        </is>
      </c>
      <c r="B4" s="7" t="inlineStr">
        <is>
          <t>Notes*</t>
        </is>
      </c>
    </row>
    <row r="5">
      <c r="A5" s="7" t="n">
        <v>1</v>
      </c>
      <c r="B5" s="7" t="inlineStr">
        <is>
          <t>OP = Original Price, disc price marked 'red' on the price column</t>
        </is>
      </c>
    </row>
    <row r="6">
      <c r="A6" s="7" t="n">
        <v>2</v>
      </c>
      <c r="B6" s="7" t="inlineStr">
        <is>
          <t>Will not write anything in the notes if the price is only a discounted bulk (more than one) purchase or no discount of sorts</t>
        </is>
      </c>
    </row>
    <row r="7">
      <c r="A7" s="7" t="n">
        <v>3</v>
      </c>
      <c r="B7" s="7" t="inlineStr">
        <is>
          <t>(LATER IN THE END) Capitalize brand name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4"/>
  <sheetViews>
    <sheetView workbookViewId="0">
      <selection activeCell="A1" sqref="A1"/>
    </sheetView>
  </sheetViews>
  <sheetFormatPr baseColWidth="8" defaultColWidth="12.63000011444092" defaultRowHeight="15.75"/>
  <cols>
    <col width="3.630000114440918" customWidth="1" style="8" min="1" max="1"/>
    <col width="16.3799991607666" customWidth="1" style="8" min="2" max="2"/>
    <col width="45.5" customWidth="1" style="8" min="3" max="3"/>
    <col width="12.75" customWidth="1" style="8" min="4" max="4"/>
    <col width="16.5" customWidth="1" style="8" min="5" max="5"/>
    <col width="17.3799991607666" customWidth="1" style="8" min="6" max="6"/>
    <col width="17.8799991607666" customWidth="1" style="8" min="7" max="7"/>
    <col width="38.75" customWidth="1" style="8" min="8" max="8"/>
    <col width="31.8799991607666" customWidth="1" style="8" min="9" max="9"/>
    <col width="10.5" customWidth="1" style="8" min="10" max="10"/>
    <col width="36" customWidth="1" style="8" min="11" max="11"/>
    <col width="18" customWidth="1" style="8" min="12" max="12"/>
  </cols>
  <sheetData>
    <row r="1">
      <c r="A1" s="7" t="inlineStr">
        <is>
          <t xml:space="preserve">No </t>
        </is>
      </c>
      <c r="B1" s="6" t="inlineStr">
        <is>
          <t>Brand</t>
        </is>
      </c>
      <c r="C1" s="6" t="inlineStr">
        <is>
          <t>Product</t>
        </is>
      </c>
      <c r="D1" s="7" t="inlineStr">
        <is>
          <t>Price (HKD)</t>
        </is>
      </c>
      <c r="E1" s="7" t="inlineStr">
        <is>
          <t>Category</t>
        </is>
      </c>
      <c r="F1" s="7" t="inlineStr">
        <is>
          <t>Sub-Category</t>
        </is>
      </c>
      <c r="G1" s="7" t="inlineStr">
        <is>
          <t xml:space="preserve">Estimated Weight </t>
        </is>
      </c>
      <c r="H1" s="7" t="inlineStr">
        <is>
          <t>Multi-Buy Promo (Total Price(HKD)/Quantity)</t>
        </is>
      </c>
      <c r="I1" s="7" t="inlineStr">
        <is>
          <t>Multi-Buy Effective Unit Price (HKD)</t>
        </is>
      </c>
      <c r="J1" s="7" t="inlineStr">
        <is>
          <t>Notes*</t>
        </is>
      </c>
      <c r="K1" s="0" t="inlineStr">
        <is>
          <t>Product Name Confirmation Source</t>
        </is>
      </c>
      <c r="L1" s="0" t="inlineStr">
        <is>
          <t>Image Source</t>
        </is>
      </c>
    </row>
    <row r="2">
      <c r="A2" s="4" t="n">
        <v>1</v>
      </c>
      <c r="B2" s="6" t="inlineStr">
        <is>
          <t>Smedley's</t>
        </is>
      </c>
      <c r="C2" s="6" t="inlineStr">
        <is>
          <t>Smedley's Tomato Sauce Baked Beans</t>
        </is>
      </c>
      <c r="D2" s="4" t="n">
        <v>10</v>
      </c>
      <c r="E2" s="4" t="inlineStr">
        <is>
          <t>Groceries</t>
        </is>
      </c>
      <c r="F2" s="4" t="inlineStr">
        <is>
          <t>Canned Goods</t>
        </is>
      </c>
      <c r="G2" s="4" t="inlineStr">
        <is>
          <t>220G</t>
        </is>
      </c>
      <c r="H2" s="4" t="inlineStr">
        <is>
          <t>18/2</t>
        </is>
      </c>
      <c r="I2" s="4">
        <f>IF(H2="","",VALUE(LEFT(H2,FIND("/",H2)-1))/VALUE(MID(H2,FIND("/",H2)+1,99)))</f>
        <v/>
      </c>
      <c r="J2" s="4" t="n"/>
    </row>
    <row r="3">
      <c r="A3" s="4" t="n">
        <v>2</v>
      </c>
      <c r="B3" s="6" t="inlineStr">
        <is>
          <t>CEO House</t>
        </is>
      </c>
      <c r="C3" s="6" t="inlineStr">
        <is>
          <t>CEO House Soda Biscuit - Seaweed Flavor</t>
        </is>
      </c>
      <c r="D3" s="4" t="n">
        <v>13.5</v>
      </c>
      <c r="E3" s="4" t="inlineStr">
        <is>
          <t>Groceries</t>
        </is>
      </c>
      <c r="F3" s="4" t="inlineStr">
        <is>
          <t>Crackers</t>
        </is>
      </c>
      <c r="G3" s="4" t="inlineStr">
        <is>
          <t>270G</t>
        </is>
      </c>
      <c r="H3" s="4" t="inlineStr">
        <is>
          <t>27/3</t>
        </is>
      </c>
      <c r="I3" s="4">
        <f>IF(H3="","",VALUE(LEFT(H3,FIND("/",H3)-1))/VALUE(MID(H3,FIND("/",H3)+1,99)))</f>
        <v/>
      </c>
      <c r="J3" s="4" t="n"/>
    </row>
    <row r="4">
      <c r="A4" s="4" t="n">
        <v>3</v>
      </c>
      <c r="B4" s="6" t="inlineStr">
        <is>
          <t>CEO House</t>
        </is>
      </c>
      <c r="C4" s="6" t="inlineStr">
        <is>
          <t>CEO House Soda Biscuit - Wasabi Flavor</t>
        </is>
      </c>
      <c r="D4" s="4" t="n">
        <v>13.5</v>
      </c>
      <c r="E4" s="4" t="inlineStr">
        <is>
          <t>Groceries</t>
        </is>
      </c>
      <c r="F4" s="4" t="inlineStr">
        <is>
          <t>Crackers</t>
        </is>
      </c>
      <c r="G4" s="4" t="inlineStr">
        <is>
          <t>270G</t>
        </is>
      </c>
      <c r="H4" s="4" t="inlineStr">
        <is>
          <t>27/4</t>
        </is>
      </c>
      <c r="I4" s="4">
        <f>IF(H4="","",VALUE(LEFT(H4,FIND("/",H4)-1))/VALUE(MID(H4,FIND("/",H4)+1,99)))</f>
        <v/>
      </c>
      <c r="J4" s="4" t="n"/>
    </row>
    <row r="5">
      <c r="A5" s="4" t="n">
        <v>4</v>
      </c>
      <c r="B5" s="6" t="inlineStr">
        <is>
          <t xml:space="preserve">Imperial Banquet </t>
        </is>
      </c>
      <c r="C5" s="6" t="inlineStr">
        <is>
          <t>Imperial Banquet Egg Rolls</t>
        </is>
      </c>
      <c r="D5" s="4" t="n">
        <v>20</v>
      </c>
      <c r="E5" s="4" t="inlineStr">
        <is>
          <t>Groceries</t>
        </is>
      </c>
      <c r="F5" s="4" t="inlineStr">
        <is>
          <t>Snacks</t>
        </is>
      </c>
      <c r="G5" s="4" t="inlineStr">
        <is>
          <t>150G</t>
        </is>
      </c>
      <c r="H5" s="4" t="inlineStr">
        <is>
          <t>26/2</t>
        </is>
      </c>
      <c r="I5" s="4">
        <f>IF(H5="","",VALUE(LEFT(H5,FIND("/",H5)-1))/VALUE(MID(H5,FIND("/",H5)+1,99)))</f>
        <v/>
      </c>
      <c r="J5" s="4" t="n"/>
    </row>
    <row r="6">
      <c r="A6" s="4" t="n">
        <v>5</v>
      </c>
      <c r="B6" s="6" t="inlineStr">
        <is>
          <t>Calbee</t>
        </is>
      </c>
      <c r="C6" s="6" t="inlineStr">
        <is>
          <t>Calbee BBQ Flavoured Wave Cut Potato Chips</t>
        </is>
      </c>
      <c r="D6" s="4" t="n">
        <v>32</v>
      </c>
      <c r="E6" s="4" t="inlineStr">
        <is>
          <t>Groceries</t>
        </is>
      </c>
      <c r="F6" s="4" t="inlineStr">
        <is>
          <t>Chips</t>
        </is>
      </c>
      <c r="G6" s="4" t="inlineStr">
        <is>
          <t>192G</t>
        </is>
      </c>
      <c r="H6" s="4" t="inlineStr">
        <is>
          <t>48/2</t>
        </is>
      </c>
      <c r="I6" s="4">
        <f>IF(H6="","",VALUE(LEFT(H6,FIND("/",H6)-1))/VALUE(MID(H6,FIND("/",H6)+1,99)))</f>
        <v/>
      </c>
      <c r="J6" s="4" t="n"/>
    </row>
    <row r="7">
      <c r="A7" s="4" t="n">
        <v>6</v>
      </c>
      <c r="B7" s="6" t="inlineStr">
        <is>
          <t>DE-MA-E</t>
        </is>
      </c>
      <c r="C7" s="6" t="inlineStr">
        <is>
          <t>DE-MA-E Iccho Bar Noodle Kyushu Tonkotsu Flavour</t>
        </is>
      </c>
      <c r="D7" s="4" t="n">
        <v>12.6</v>
      </c>
      <c r="E7" s="4" t="inlineStr">
        <is>
          <t>Groceries</t>
        </is>
      </c>
      <c r="F7" s="4" t="inlineStr">
        <is>
          <t>Rice &amp; Noodles</t>
        </is>
      </c>
      <c r="G7" s="4" t="inlineStr">
        <is>
          <t>192G</t>
        </is>
      </c>
      <c r="H7" s="4" t="inlineStr">
        <is>
          <t>18.9/2</t>
        </is>
      </c>
      <c r="I7" s="4">
        <f>IF(H7="","",VALUE(LEFT(H7,FIND("/",H7)-1))/VALUE(MID(H7,FIND("/",H7)+1,99)))</f>
        <v/>
      </c>
      <c r="J7" s="4" t="n"/>
    </row>
    <row r="8">
      <c r="A8" s="4" t="n">
        <v>7</v>
      </c>
      <c r="B8" s="6" t="inlineStr">
        <is>
          <t>DE-MA-E</t>
        </is>
      </c>
      <c r="C8" s="6" t="inlineStr">
        <is>
          <t>DE-MA-E Iccho Bar Noodle Shoyu Tonkotsu Flavour</t>
        </is>
      </c>
      <c r="D8" s="4" t="n">
        <v>12.6</v>
      </c>
      <c r="E8" s="4" t="inlineStr">
        <is>
          <t>Groceries</t>
        </is>
      </c>
      <c r="F8" s="4" t="inlineStr">
        <is>
          <t>Rice &amp; Noodles</t>
        </is>
      </c>
      <c r="G8" s="4" t="inlineStr">
        <is>
          <t>192G</t>
        </is>
      </c>
      <c r="H8" s="4" t="inlineStr">
        <is>
          <t>18.9/2</t>
        </is>
      </c>
      <c r="I8" s="4">
        <f>IF(H8="","",VALUE(LEFT(H8,FIND("/",H8)-1))/VALUE(MID(H8,FIND("/",H8)+1,99)))</f>
        <v/>
      </c>
      <c r="J8" s="4" t="n"/>
    </row>
    <row r="9">
      <c r="A9" s="4" t="n">
        <v>8</v>
      </c>
      <c r="B9" s="6" t="inlineStr">
        <is>
          <t>Imperial Bird's Nest</t>
        </is>
      </c>
      <c r="C9" s="6" t="inlineStr">
        <is>
          <t>Imperial Bird's Nest Conch with Scallop Soup</t>
        </is>
      </c>
      <c r="D9" s="4" t="n">
        <v>48</v>
      </c>
      <c r="E9" s="4" t="inlineStr">
        <is>
          <t>Groceries</t>
        </is>
      </c>
      <c r="F9" s="4" t="inlineStr">
        <is>
          <t>Canned Goods</t>
        </is>
      </c>
      <c r="G9" s="4" t="inlineStr">
        <is>
          <t>320G</t>
        </is>
      </c>
      <c r="H9" s="4" t="inlineStr">
        <is>
          <t>72/2</t>
        </is>
      </c>
      <c r="I9" s="4">
        <f>IF(H9="","",VALUE(LEFT(H9,FIND("/",H9)-1))/VALUE(MID(H9,FIND("/",H9)+1,99)))</f>
        <v/>
      </c>
      <c r="J9" s="4" t="n"/>
    </row>
    <row r="10">
      <c r="A10" s="4" t="n">
        <v>9</v>
      </c>
      <c r="B10" s="6" t="inlineStr">
        <is>
          <t>Imperial Bird's Nest</t>
        </is>
      </c>
      <c r="C10" s="6" t="inlineStr">
        <is>
          <t>Imperial Bird's Nest Conch Ginkgo &amp; Pig Lung Soup</t>
        </is>
      </c>
      <c r="D10" s="4" t="n">
        <v>48</v>
      </c>
      <c r="E10" s="4" t="inlineStr">
        <is>
          <t>Groceries</t>
        </is>
      </c>
      <c r="F10" s="4" t="inlineStr">
        <is>
          <t>Canned Goods</t>
        </is>
      </c>
      <c r="G10" s="4" t="inlineStr">
        <is>
          <t>320G</t>
        </is>
      </c>
      <c r="H10" s="4" t="inlineStr">
        <is>
          <t>72/2</t>
        </is>
      </c>
      <c r="I10" s="4">
        <f>IF(H10="","",VALUE(LEFT(H10,FIND("/",H10)-1))/VALUE(MID(H10,FIND("/",H10)+1,99)))</f>
        <v/>
      </c>
      <c r="J10" s="4" t="n"/>
    </row>
    <row r="11">
      <c r="A11" s="4" t="n">
        <v>10</v>
      </c>
      <c r="B11" s="6" t="inlineStr">
        <is>
          <t>Calbee</t>
        </is>
      </c>
      <c r="C11" s="6" t="inlineStr">
        <is>
          <t>Calbee Blazin Hot Cheese Grill-a-corn</t>
        </is>
      </c>
      <c r="D11" s="4" t="n">
        <v>10</v>
      </c>
      <c r="E11" s="4" t="inlineStr">
        <is>
          <t>Groceries</t>
        </is>
      </c>
      <c r="F11" s="4" t="inlineStr">
        <is>
          <t>Chips</t>
        </is>
      </c>
      <c r="G11" s="4" t="inlineStr">
        <is>
          <t>63G</t>
        </is>
      </c>
      <c r="H11" s="4" t="inlineStr">
        <is>
          <t>15/2</t>
        </is>
      </c>
      <c r="I11" s="4">
        <f>IF(H11="","",VALUE(LEFT(H11,FIND("/",H11)-1))/VALUE(MID(H11,FIND("/",H11)+1,99)))</f>
        <v/>
      </c>
      <c r="J11" s="4" t="n"/>
    </row>
    <row r="12">
      <c r="A12" s="4" t="n">
        <v>11</v>
      </c>
      <c r="B12" s="6" t="inlineStr">
        <is>
          <t>Calbee</t>
        </is>
      </c>
      <c r="C12" s="6" t="inlineStr">
        <is>
          <t>Calbee Smoky Cheese Flavoured Grill A Corn</t>
        </is>
      </c>
      <c r="D12" s="4" t="n">
        <v>10</v>
      </c>
      <c r="E12" s="4" t="inlineStr">
        <is>
          <t>Groceries</t>
        </is>
      </c>
      <c r="F12" s="4" t="inlineStr">
        <is>
          <t>Chips</t>
        </is>
      </c>
      <c r="G12" s="4" t="inlineStr">
        <is>
          <t>80G</t>
        </is>
      </c>
      <c r="H12" s="4" t="inlineStr">
        <is>
          <t>15/2</t>
        </is>
      </c>
      <c r="I12" s="4">
        <f>IF(H12="","",VALUE(LEFT(H12,FIND("/",H12)-1))/VALUE(MID(H12,FIND("/",H12)+1,99)))</f>
        <v/>
      </c>
      <c r="J12" s="4" t="n"/>
    </row>
    <row r="13">
      <c r="A13" s="4" t="n">
        <v>12</v>
      </c>
      <c r="B13" s="6" t="inlineStr">
        <is>
          <t>Mcvitie's</t>
        </is>
      </c>
      <c r="C13" s="6" t="inlineStr">
        <is>
          <t>Mcvitie's Marie Finger Biscuit</t>
        </is>
      </c>
      <c r="D13" s="4" t="n">
        <v>22</v>
      </c>
      <c r="E13" s="4" t="inlineStr">
        <is>
          <t>Groceries</t>
        </is>
      </c>
      <c r="F13" s="4" t="inlineStr">
        <is>
          <t>Biscuits</t>
        </is>
      </c>
      <c r="G13" s="4" t="inlineStr">
        <is>
          <t>200G</t>
        </is>
      </c>
      <c r="H13" s="4" t="inlineStr">
        <is>
          <t>33/2</t>
        </is>
      </c>
      <c r="I13" s="4">
        <f>IF(H13="","",VALUE(LEFT(H13,FIND("/",H13)-1))/VALUE(MID(H13,FIND("/",H13)+1,99)))</f>
        <v/>
      </c>
      <c r="J13" s="4" t="n"/>
    </row>
    <row r="14">
      <c r="A14" s="4" t="n">
        <v>13</v>
      </c>
      <c r="B14" s="6" t="inlineStr">
        <is>
          <t>Lee Kum Kee</t>
        </is>
      </c>
      <c r="C14" s="6" t="inlineStr">
        <is>
          <t>Lee Kum Kee Abalone In Abalone Sauce</t>
        </is>
      </c>
      <c r="D14" s="4" t="n">
        <v>39</v>
      </c>
      <c r="E14" s="4" t="inlineStr">
        <is>
          <t>Groceries</t>
        </is>
      </c>
      <c r="F14" s="4" t="inlineStr">
        <is>
          <t>Canned Goods</t>
        </is>
      </c>
      <c r="G14" s="4" t="inlineStr">
        <is>
          <t>180G</t>
        </is>
      </c>
      <c r="H14" s="4" t="n"/>
      <c r="I14" s="4">
        <f>IF(H14="","",VALUE(LEFT(H14,FIND("/",H14)-1))/VALUE(MID(H14,FIND("/",H14)+1,99)))</f>
        <v/>
      </c>
      <c r="J14" s="4" t="n"/>
    </row>
    <row r="15">
      <c r="A15" s="4" t="n">
        <v>14</v>
      </c>
      <c r="B15" s="6" t="inlineStr">
        <is>
          <t>Lee Kum Kee</t>
        </is>
      </c>
      <c r="C15" s="6" t="inlineStr">
        <is>
          <t xml:space="preserve">Lee Kum Kee Abalone In Red Brai Sauce with Dry Scalop </t>
        </is>
      </c>
      <c r="D15" s="4" t="n">
        <v>39</v>
      </c>
      <c r="E15" s="4" t="inlineStr">
        <is>
          <t>Groceries</t>
        </is>
      </c>
      <c r="F15" s="4" t="inlineStr">
        <is>
          <t>Canned Goods</t>
        </is>
      </c>
      <c r="G15" s="4" t="inlineStr">
        <is>
          <t>180G</t>
        </is>
      </c>
      <c r="H15" s="4" t="n"/>
      <c r="I15" s="4">
        <f>IF(H15="","",VALUE(LEFT(H15,FIND("/",H15)-1))/VALUE(MID(H15,FIND("/",H15)+1,99)))</f>
        <v/>
      </c>
      <c r="J15" s="4" t="n"/>
    </row>
    <row r="16">
      <c r="A16" s="4" t="n">
        <v>15</v>
      </c>
      <c r="B16" s="6" t="inlineStr">
        <is>
          <t>Lee Kum Kee</t>
        </is>
      </c>
      <c r="C16" s="6" t="inlineStr">
        <is>
          <t>Lee Kum Kee Abalone In Premium Oyster Sauce</t>
        </is>
      </c>
      <c r="D16" s="4" t="n">
        <v>39</v>
      </c>
      <c r="E16" s="4" t="inlineStr">
        <is>
          <t>Groceries</t>
        </is>
      </c>
      <c r="F16" s="4" t="inlineStr">
        <is>
          <t>Canned Goods</t>
        </is>
      </c>
      <c r="G16" s="4" t="inlineStr">
        <is>
          <t>180G</t>
        </is>
      </c>
      <c r="H16" s="4" t="n"/>
      <c r="I16" s="4">
        <f>IF(H16="","",VALUE(LEFT(H16,FIND("/",H16)-1))/VALUE(MID(H16,FIND("/",H16)+1,99)))</f>
        <v/>
      </c>
      <c r="J16" s="4" t="n"/>
    </row>
    <row r="17">
      <c r="A17" s="4" t="n">
        <v>16</v>
      </c>
      <c r="B17" s="6" t="inlineStr">
        <is>
          <t>Lee Kum Kee</t>
        </is>
      </c>
      <c r="C17" s="6" t="inlineStr">
        <is>
          <t>Lee Kum Kee Premium Oyster Sauce</t>
        </is>
      </c>
      <c r="D17" s="4" t="n">
        <v>27</v>
      </c>
      <c r="E17" s="4" t="inlineStr">
        <is>
          <t>Groceries</t>
        </is>
      </c>
      <c r="F17" s="4" t="inlineStr">
        <is>
          <t>Sauces</t>
        </is>
      </c>
      <c r="G17" s="4" t="inlineStr">
        <is>
          <t>350G</t>
        </is>
      </c>
      <c r="H17" s="4" t="n"/>
      <c r="I17" s="4">
        <f>IF(H17="","",VALUE(LEFT(H17,FIND("/",H17)-1))/VALUE(MID(H17,FIND("/",H17)+1,99)))</f>
        <v/>
      </c>
      <c r="J17" s="4" t="n"/>
    </row>
    <row r="18">
      <c r="A18" s="4" t="n">
        <v>17</v>
      </c>
      <c r="B18" s="6" t="inlineStr">
        <is>
          <t>Darlie</t>
        </is>
      </c>
      <c r="C18" s="6" t="inlineStr">
        <is>
          <t>Darlie Double Action Oral Care Travel Kit</t>
        </is>
      </c>
      <c r="D18" s="4" t="n">
        <v>12.9</v>
      </c>
      <c r="E18" s="4" t="inlineStr">
        <is>
          <t>Groceries</t>
        </is>
      </c>
      <c r="F18" s="4" t="inlineStr">
        <is>
          <t>Toiletries</t>
        </is>
      </c>
      <c r="G18" s="4" t="inlineStr">
        <is>
          <t>50G</t>
        </is>
      </c>
      <c r="H18" s="4" t="n"/>
      <c r="I18" s="4">
        <f>IF(H18="","",VALUE(LEFT(H18,FIND("/",H18)-1))/VALUE(MID(H18,FIND("/",H18)+1,99)))</f>
        <v/>
      </c>
      <c r="J18" s="4" t="n"/>
    </row>
    <row r="19">
      <c r="A19" s="4" t="n">
        <v>18</v>
      </c>
      <c r="B19" s="6" t="inlineStr">
        <is>
          <t>Colgate</t>
        </is>
      </c>
      <c r="C19" s="6" t="inlineStr">
        <is>
          <t>Colgate Charcoal Travel Kit</t>
        </is>
      </c>
      <c r="D19" s="4" t="n">
        <v>19.9</v>
      </c>
      <c r="E19" s="4" t="inlineStr">
        <is>
          <t>Groceries</t>
        </is>
      </c>
      <c r="F19" s="4" t="inlineStr">
        <is>
          <t>Toiletries</t>
        </is>
      </c>
      <c r="G19" s="4" t="inlineStr">
        <is>
          <t>50G</t>
        </is>
      </c>
      <c r="H19" s="4" t="n"/>
      <c r="I19" s="4">
        <f>IF(H19="","",VALUE(LEFT(H19,FIND("/",H19)-1))/VALUE(MID(H19,FIND("/",H19)+1,99)))</f>
        <v/>
      </c>
      <c r="J19" s="4" t="n"/>
    </row>
    <row r="20">
      <c r="A20" s="4" t="n">
        <v>19</v>
      </c>
      <c r="B20" s="6" t="inlineStr">
        <is>
          <t>Colgate</t>
        </is>
      </c>
      <c r="C20" s="6" t="inlineStr">
        <is>
          <t>Colgate Sensitive Pro-Relief Toothpaste</t>
        </is>
      </c>
      <c r="D20" s="4" t="n">
        <v>49.9</v>
      </c>
      <c r="E20" s="4" t="inlineStr">
        <is>
          <t>Groceries</t>
        </is>
      </c>
      <c r="F20" s="4" t="inlineStr">
        <is>
          <t>Toiletries</t>
        </is>
      </c>
      <c r="G20" s="4" t="inlineStr">
        <is>
          <t>75ML</t>
        </is>
      </c>
      <c r="H20" s="4" t="n"/>
      <c r="I20" s="4">
        <f>IF(H20="","",VALUE(LEFT(H20,FIND("/",H20)-1))/VALUE(MID(H20,FIND("/",H20)+1,99)))</f>
        <v/>
      </c>
      <c r="J20" s="4" t="n"/>
    </row>
    <row r="21">
      <c r="A21" s="4" t="n">
        <v>20</v>
      </c>
      <c r="B21" s="6" t="inlineStr">
        <is>
          <t>Colgate</t>
        </is>
      </c>
      <c r="C21" s="6" t="inlineStr">
        <is>
          <t>Colgate Total Active Prevention Toothpaste</t>
        </is>
      </c>
      <c r="D21" s="4" t="n">
        <v>54.9</v>
      </c>
      <c r="E21" s="4" t="inlineStr">
        <is>
          <t>Groceries</t>
        </is>
      </c>
      <c r="F21" s="4" t="inlineStr">
        <is>
          <t>Toiletries</t>
        </is>
      </c>
      <c r="G21" s="4" t="inlineStr">
        <is>
          <t>95G</t>
        </is>
      </c>
      <c r="H21" s="4" t="n"/>
      <c r="I21" s="4">
        <f>IF(H21="","",VALUE(LEFT(H21,FIND("/",H21)-1))/VALUE(MID(H21,FIND("/",H21)+1,99)))</f>
        <v/>
      </c>
      <c r="J21" s="4" t="n"/>
    </row>
    <row r="22">
      <c r="A22" s="4" t="n">
        <v>21</v>
      </c>
      <c r="B22" s="6" t="inlineStr">
        <is>
          <t>Dettol</t>
        </is>
      </c>
      <c r="C22" s="6" t="inlineStr">
        <is>
          <t>Dettol Original Soap 3pcs</t>
        </is>
      </c>
      <c r="D22" s="4" t="n">
        <v>36.9</v>
      </c>
      <c r="E22" s="4" t="inlineStr">
        <is>
          <t>Groceries</t>
        </is>
      </c>
      <c r="F22" s="4" t="inlineStr">
        <is>
          <t>Toiletries</t>
        </is>
      </c>
      <c r="G22" s="4" t="inlineStr">
        <is>
          <t>300G</t>
        </is>
      </c>
      <c r="H22" s="4" t="n"/>
      <c r="I22" s="4">
        <f>IF(H22="","",VALUE(LEFT(H22,FIND("/",H22)-1))/VALUE(MID(H22,FIND("/",H22)+1,99)))</f>
        <v/>
      </c>
      <c r="J22" s="4" t="inlineStr">
        <is>
          <t>pcs 3 x 100g</t>
        </is>
      </c>
    </row>
    <row r="23">
      <c r="A23" s="4" t="n">
        <v>22</v>
      </c>
      <c r="B23" s="6" t="inlineStr">
        <is>
          <t>Dove</t>
        </is>
      </c>
      <c r="C23" s="6" t="inlineStr">
        <is>
          <t xml:space="preserve">Dove Beauty Bar </t>
        </is>
      </c>
      <c r="D23" s="4" t="n">
        <v>13.9</v>
      </c>
      <c r="E23" s="4" t="inlineStr">
        <is>
          <t>Groceries</t>
        </is>
      </c>
      <c r="F23" s="4" t="inlineStr">
        <is>
          <t>Toiletries</t>
        </is>
      </c>
      <c r="G23" s="4" t="inlineStr">
        <is>
          <t>90G</t>
        </is>
      </c>
      <c r="H23" s="4" t="n"/>
      <c r="I23" s="4">
        <f>IF(H23="","",VALUE(LEFT(H23,FIND("/",H23)-1))/VALUE(MID(H23,FIND("/",H23)+1,99)))</f>
        <v/>
      </c>
      <c r="J23" s="4" t="n"/>
    </row>
    <row r="24">
      <c r="A24" s="4" t="n">
        <v>23</v>
      </c>
      <c r="B24" s="6" t="inlineStr">
        <is>
          <t>Vidal Sasson</t>
        </is>
      </c>
      <c r="C24" s="6" t="inlineStr">
        <is>
          <t>Vidal Sasson Moisturizing Anti-Dandruff Shampoo</t>
        </is>
      </c>
      <c r="D24" s="4" t="n">
        <v>67.90000000000001</v>
      </c>
      <c r="E24" s="4" t="inlineStr">
        <is>
          <t>Groceries</t>
        </is>
      </c>
      <c r="F24" s="4" t="inlineStr">
        <is>
          <t>Toiletries</t>
        </is>
      </c>
      <c r="G24" s="4" t="inlineStr">
        <is>
          <t>750ML</t>
        </is>
      </c>
      <c r="H24" s="4" t="n"/>
      <c r="I24" s="4">
        <f>IF(H24="","",VALUE(LEFT(H24,FIND("/",H24)-1))/VALUE(MID(H24,FIND("/",H24)+1,99)))</f>
        <v/>
      </c>
      <c r="J24" s="4" t="n"/>
    </row>
    <row r="25">
      <c r="A25" s="4" t="n">
        <v>24</v>
      </c>
      <c r="B25" s="6" t="inlineStr">
        <is>
          <t>Vidal Sasson</t>
        </is>
      </c>
      <c r="C25" s="6" t="inlineStr">
        <is>
          <t>Vidal Sasson Light &amp; Soft Smooth Shampoo</t>
        </is>
      </c>
      <c r="D25" s="4" t="n">
        <v>67.90000000000001</v>
      </c>
      <c r="E25" s="4" t="inlineStr">
        <is>
          <t>Groceries</t>
        </is>
      </c>
      <c r="F25" s="4" t="inlineStr">
        <is>
          <t>Toiletries</t>
        </is>
      </c>
      <c r="G25" s="4" t="inlineStr">
        <is>
          <t>750ML</t>
        </is>
      </c>
      <c r="H25" s="4" t="n"/>
      <c r="I25" s="4">
        <f>IF(H25="","",VALUE(LEFT(H25,FIND("/",H25)-1))/VALUE(MID(H25,FIND("/",H25)+1,99)))</f>
        <v/>
      </c>
      <c r="J25" s="4" t="n"/>
    </row>
    <row r="26">
      <c r="A26" s="4" t="n">
        <v>25</v>
      </c>
      <c r="B26" s="6" t="inlineStr">
        <is>
          <t>Sebamed</t>
        </is>
      </c>
      <c r="C26" s="6" t="inlineStr">
        <is>
          <t>Sebamed Oily Scalp Shampoo</t>
        </is>
      </c>
      <c r="D26" s="5" t="n">
        <v>116.8</v>
      </c>
      <c r="E26" s="4" t="inlineStr">
        <is>
          <t>Groceries</t>
        </is>
      </c>
      <c r="F26" s="4" t="inlineStr">
        <is>
          <t>Toiletries</t>
        </is>
      </c>
      <c r="G26" s="4" t="inlineStr">
        <is>
          <t>400ML</t>
        </is>
      </c>
      <c r="H26" s="4" t="n"/>
      <c r="I26" s="4">
        <f>IF(H26="","",VALUE(LEFT(H26,FIND("/",H26)-1))/VALUE(MID(H26,FIND("/",H26)+1,99)))</f>
        <v/>
      </c>
      <c r="J26" s="4" t="inlineStr">
        <is>
          <t>OP = 150</t>
        </is>
      </c>
    </row>
    <row r="27">
      <c r="A27" s="4" t="n">
        <v>26</v>
      </c>
      <c r="B27" s="6" t="inlineStr">
        <is>
          <t>Tresemme</t>
        </is>
      </c>
      <c r="C27" s="6" t="inlineStr">
        <is>
          <t>Tresemme Conditioner Cleanse &amp; Replenish</t>
        </is>
      </c>
      <c r="D27" s="4" t="n">
        <v>75.90000000000001</v>
      </c>
      <c r="E27" s="4" t="inlineStr">
        <is>
          <t>Groceries</t>
        </is>
      </c>
      <c r="F27" s="4" t="inlineStr">
        <is>
          <t>Toiletries</t>
        </is>
      </c>
      <c r="G27" s="4" t="inlineStr">
        <is>
          <t>940ML</t>
        </is>
      </c>
      <c r="H27" s="4" t="n"/>
      <c r="I27" s="4">
        <f>IF(H27="","",VALUE(LEFT(H27,FIND("/",H27)-1))/VALUE(MID(H27,FIND("/",H27)+1,99)))</f>
        <v/>
      </c>
      <c r="J27" s="4" t="n"/>
    </row>
    <row r="28">
      <c r="A28" s="4" t="n">
        <v>27</v>
      </c>
      <c r="B28" s="6" t="inlineStr">
        <is>
          <t>Dove</t>
        </is>
      </c>
      <c r="C28" s="6" t="inlineStr">
        <is>
          <t xml:space="preserve">Dove Peptide Intense Repair Shampoo </t>
        </is>
      </c>
      <c r="D28" s="4" t="n">
        <v>59.9</v>
      </c>
      <c r="E28" s="4" t="inlineStr">
        <is>
          <t>Groceries</t>
        </is>
      </c>
      <c r="F28" s="4" t="inlineStr">
        <is>
          <t>Toiletries</t>
        </is>
      </c>
      <c r="G28" s="4" t="inlineStr">
        <is>
          <t>580ML</t>
        </is>
      </c>
      <c r="H28" s="4" t="inlineStr">
        <is>
          <t>119.8/3</t>
        </is>
      </c>
      <c r="I28" s="4">
        <f>IF(H28="","",VALUE(LEFT(H28,FIND("/",H28)-1))/VALUE(MID(H28,FIND("/",H28)+1,99)))</f>
        <v/>
      </c>
      <c r="J28" s="4" t="inlineStr">
        <is>
          <t>Buy 2 Get 1</t>
        </is>
      </c>
    </row>
    <row r="29">
      <c r="A29" s="4" t="n">
        <v>28</v>
      </c>
      <c r="B29" s="6" t="inlineStr">
        <is>
          <t>Dove</t>
        </is>
      </c>
      <c r="C29" s="6" t="inlineStr">
        <is>
          <t xml:space="preserve">Dove Elastin Long &amp; Thick Shampoo </t>
        </is>
      </c>
      <c r="D29" s="4" t="n">
        <v>59.9</v>
      </c>
      <c r="E29" s="4" t="inlineStr">
        <is>
          <t>Groceries</t>
        </is>
      </c>
      <c r="F29" s="4" t="inlineStr">
        <is>
          <t>Toiletries</t>
        </is>
      </c>
      <c r="G29" s="4" t="inlineStr">
        <is>
          <t>580ML</t>
        </is>
      </c>
      <c r="H29" s="4" t="inlineStr">
        <is>
          <t>119.8/3</t>
        </is>
      </c>
      <c r="I29" s="4">
        <f>IF(H29="","",VALUE(LEFT(H29,FIND("/",H29)-1))/VALUE(MID(H29,FIND("/",H29)+1,99)))</f>
        <v/>
      </c>
      <c r="J29" s="4" t="inlineStr">
        <is>
          <t>Buy 2 Get 1</t>
        </is>
      </c>
    </row>
    <row r="30">
      <c r="A30" s="4" t="n">
        <v>29</v>
      </c>
      <c r="B30" s="6" t="inlineStr">
        <is>
          <t>Pantene</t>
        </is>
      </c>
      <c r="C30" s="6" t="inlineStr">
        <is>
          <t>Pantene Milky Repair Shampoo</t>
        </is>
      </c>
      <c r="D30" s="4" t="n">
        <v>64.90000000000001</v>
      </c>
      <c r="E30" s="4" t="inlineStr">
        <is>
          <t>Groceries</t>
        </is>
      </c>
      <c r="F30" s="4" t="inlineStr">
        <is>
          <t>Toiletries</t>
        </is>
      </c>
      <c r="G30" s="4" t="inlineStr">
        <is>
          <t>650G</t>
        </is>
      </c>
      <c r="H30" s="4" t="n"/>
      <c r="I30" s="4">
        <f>IF(H30="","",VALUE(LEFT(H30,FIND("/",H30)-1))/VALUE(MID(H30,FIND("/",H30)+1,99)))</f>
        <v/>
      </c>
      <c r="J30" s="4" t="n"/>
    </row>
    <row r="31">
      <c r="A31" s="4" t="n">
        <v>30</v>
      </c>
      <c r="B31" s="6" t="inlineStr">
        <is>
          <t>Pantene</t>
        </is>
      </c>
      <c r="C31" s="6" t="inlineStr">
        <is>
          <t>Pantene Anti-Hair Breakage Shampoo</t>
        </is>
      </c>
      <c r="D31" s="4" t="n">
        <v>64.90000000000001</v>
      </c>
      <c r="E31" s="4" t="inlineStr">
        <is>
          <t>Groceries</t>
        </is>
      </c>
      <c r="F31" s="4" t="inlineStr">
        <is>
          <t>Toiletries</t>
        </is>
      </c>
      <c r="G31" s="4" t="inlineStr">
        <is>
          <t>650G</t>
        </is>
      </c>
      <c r="H31" s="4" t="n"/>
      <c r="I31" s="4">
        <f>IF(H31="","",VALUE(LEFT(H31,FIND("/",H31)-1))/VALUE(MID(H31,FIND("/",H31)+1,99)))</f>
        <v/>
      </c>
      <c r="J31" s="4" t="n"/>
    </row>
    <row r="32">
      <c r="A32" s="4" t="n">
        <v>31</v>
      </c>
      <c r="B32" s="6" t="inlineStr">
        <is>
          <t>Pantene</t>
        </is>
      </c>
      <c r="C32" s="6" t="inlineStr">
        <is>
          <t>Pantene Silky Smooth Conditioner</t>
        </is>
      </c>
      <c r="D32" s="4" t="n">
        <v>64.90000000000001</v>
      </c>
      <c r="E32" s="4" t="inlineStr">
        <is>
          <t>Groceries</t>
        </is>
      </c>
      <c r="F32" s="4" t="inlineStr">
        <is>
          <t>Toiletries</t>
        </is>
      </c>
      <c r="G32" s="4" t="inlineStr">
        <is>
          <t>650G</t>
        </is>
      </c>
      <c r="H32" s="4" t="n"/>
      <c r="I32" s="4">
        <f>IF(H32="","",VALUE(LEFT(H32,FIND("/",H32)-1))/VALUE(MID(H32,FIND("/",H32)+1,99)))</f>
        <v/>
      </c>
      <c r="J32" s="4" t="n"/>
    </row>
    <row r="33">
      <c r="A33" s="4" t="n">
        <v>32</v>
      </c>
      <c r="B33" s="6" t="inlineStr">
        <is>
          <t>BioKill</t>
        </is>
      </c>
      <c r="C33" s="6" t="inlineStr">
        <is>
          <t>BioKill Long Lasting Extra Insecticide</t>
        </is>
      </c>
      <c r="D33" s="4" t="n">
        <v>79.90000000000001</v>
      </c>
      <c r="E33" s="4" t="inlineStr">
        <is>
          <t>Groceries</t>
        </is>
      </c>
      <c r="F33" s="4" t="inlineStr">
        <is>
          <t>Household</t>
        </is>
      </c>
      <c r="G33" s="4" t="inlineStr">
        <is>
          <t>500ML</t>
        </is>
      </c>
      <c r="H33" s="4" t="inlineStr">
        <is>
          <t>135/2</t>
        </is>
      </c>
      <c r="I33" s="4">
        <f>IF(H33="","",VALUE(LEFT(H33,FIND("/",H33)-1))/VALUE(MID(H33,FIND("/",H33)+1,99)))</f>
        <v/>
      </c>
      <c r="J33" s="4" t="n"/>
    </row>
    <row r="34">
      <c r="A34" s="4" t="n">
        <v>33</v>
      </c>
      <c r="B34" s="6" t="inlineStr">
        <is>
          <t>BioKill</t>
        </is>
      </c>
      <c r="C34" s="6" t="inlineStr">
        <is>
          <t>BioKill Universal Insecticide</t>
        </is>
      </c>
      <c r="D34" s="4" t="n">
        <v>68.90000000000001</v>
      </c>
      <c r="E34" s="4" t="inlineStr">
        <is>
          <t>Groceries</t>
        </is>
      </c>
      <c r="F34" s="4" t="inlineStr">
        <is>
          <t>Household</t>
        </is>
      </c>
      <c r="G34" s="4" t="inlineStr">
        <is>
          <t>500ML</t>
        </is>
      </c>
      <c r="H34" s="4" t="inlineStr">
        <is>
          <t>125/2</t>
        </is>
      </c>
      <c r="I34" s="4">
        <f>IF(H34="","",VALUE(LEFT(H34,FIND("/",H34)-1))/VALUE(MID(H34,FIND("/",H34)+1,99)))</f>
        <v/>
      </c>
      <c r="J34" s="4" t="n"/>
    </row>
    <row r="35">
      <c r="A35" s="4" t="n">
        <v>34</v>
      </c>
      <c r="B35" s="6" t="inlineStr">
        <is>
          <t>Dettol</t>
        </is>
      </c>
      <c r="C35" s="6" t="inlineStr">
        <is>
          <t>Dettol Disinfectant Spray</t>
        </is>
      </c>
      <c r="D35" s="4" t="n">
        <v>64.90000000000001</v>
      </c>
      <c r="E35" s="4" t="inlineStr">
        <is>
          <t>Groceries</t>
        </is>
      </c>
      <c r="F35" s="4" t="inlineStr">
        <is>
          <t>Cleaning Supplies</t>
        </is>
      </c>
      <c r="G35" s="4" t="inlineStr">
        <is>
          <t>450ML</t>
        </is>
      </c>
      <c r="H35" s="4" t="n"/>
      <c r="I35" s="4">
        <f>IF(H35="","",VALUE(LEFT(H35,FIND("/",H35)-1))/VALUE(MID(H35,FIND("/",H35)+1,99)))</f>
        <v/>
      </c>
      <c r="J35" s="4" t="n"/>
    </row>
    <row r="36">
      <c r="A36" s="4" t="n">
        <v>35</v>
      </c>
      <c r="B36" s="6" t="inlineStr">
        <is>
          <t>Speedtox</t>
        </is>
      </c>
      <c r="C36" s="6" t="inlineStr">
        <is>
          <t>Speedtox Fleas &amp; Mites Fumigator</t>
        </is>
      </c>
      <c r="D36" s="4" t="n">
        <v>86.7</v>
      </c>
      <c r="E36" s="4" t="inlineStr">
        <is>
          <t>Groceries</t>
        </is>
      </c>
      <c r="F36" s="4" t="inlineStr">
        <is>
          <t>Household</t>
        </is>
      </c>
      <c r="G36" s="4" t="inlineStr">
        <is>
          <t>10G</t>
        </is>
      </c>
      <c r="H36" s="4" t="n"/>
      <c r="I36" s="4">
        <f>IF(H36="","",VALUE(LEFT(H36,FIND("/",H36)-1))/VALUE(MID(H36,FIND("/",H36)+1,99)))</f>
        <v/>
      </c>
      <c r="J36" s="4" t="n"/>
    </row>
    <row r="37">
      <c r="A37" s="4" t="n">
        <v>36</v>
      </c>
      <c r="B37" s="6" t="inlineStr">
        <is>
          <t>Sukki-ri!</t>
        </is>
      </c>
      <c r="C37" s="6" t="inlineStr">
        <is>
          <t>Sukki-ri! Deodorizing Chamomile Air Freshner</t>
        </is>
      </c>
      <c r="D37" s="4" t="n">
        <v>28</v>
      </c>
      <c r="E37" s="4" t="inlineStr">
        <is>
          <t>Groceries</t>
        </is>
      </c>
      <c r="F37" s="4" t="inlineStr">
        <is>
          <t>Household</t>
        </is>
      </c>
      <c r="G37" s="4" t="inlineStr">
        <is>
          <t>400ML</t>
        </is>
      </c>
      <c r="H37" s="4" t="n"/>
      <c r="I37" s="4">
        <f>IF(H37="","",VALUE(LEFT(H37,FIND("/",H37)-1))/VALUE(MID(H37,FIND("/",H37)+1,99)))</f>
        <v/>
      </c>
      <c r="J37" s="4" t="n"/>
    </row>
    <row r="38">
      <c r="A38" s="4" t="n">
        <v>37</v>
      </c>
      <c r="B38" s="6" t="inlineStr">
        <is>
          <t>Select</t>
        </is>
      </c>
      <c r="C38" s="6" t="inlineStr">
        <is>
          <t>Select Dehumidifier Lavender Scent</t>
        </is>
      </c>
      <c r="D38" s="4" t="n">
        <v>21.5</v>
      </c>
      <c r="E38" s="4" t="inlineStr">
        <is>
          <t>Groceries</t>
        </is>
      </c>
      <c r="F38" s="4" t="inlineStr">
        <is>
          <t>Household</t>
        </is>
      </c>
      <c r="G38" s="4" t="inlineStr">
        <is>
          <t>450ML</t>
        </is>
      </c>
      <c r="H38" s="4" t="inlineStr">
        <is>
          <t>30/2</t>
        </is>
      </c>
      <c r="I38" s="4">
        <f>IF(H38="","",VALUE(LEFT(H38,FIND("/",H38)-1))/VALUE(MID(H38,FIND("/",H38)+1,99)))</f>
        <v/>
      </c>
      <c r="J38" s="4" t="n"/>
    </row>
    <row r="39">
      <c r="A39" s="4" t="n">
        <v>38</v>
      </c>
      <c r="B39" s="6" t="inlineStr">
        <is>
          <t>Authentic Tea House</t>
        </is>
      </c>
      <c r="C39" s="6" t="inlineStr">
        <is>
          <t>Authentic Tea House Cold Brew Taiwan Oolong Tea</t>
        </is>
      </c>
      <c r="D39" s="4" t="n">
        <v>10.5</v>
      </c>
      <c r="E39" s="4" t="inlineStr">
        <is>
          <t>Groceries</t>
        </is>
      </c>
      <c r="F39" s="4" t="inlineStr">
        <is>
          <t>Tea</t>
        </is>
      </c>
      <c r="G39" s="4" t="inlineStr">
        <is>
          <t>500ML</t>
        </is>
      </c>
      <c r="H39" s="4" t="inlineStr">
        <is>
          <t>15/2</t>
        </is>
      </c>
      <c r="I39" s="4">
        <f>IF(H39="","",VALUE(LEFT(H39,FIND("/",H39)-1))/VALUE(MID(H39,FIND("/",H39)+1,99)))</f>
        <v/>
      </c>
      <c r="J39" s="4" t="n"/>
    </row>
    <row r="40">
      <c r="A40" s="4" t="n">
        <v>39</v>
      </c>
      <c r="B40" s="6" t="inlineStr">
        <is>
          <t>Authentic Tea House</t>
        </is>
      </c>
      <c r="C40" s="6" t="inlineStr">
        <is>
          <t>Authentic Tea House Cold Brew Taiwan Honey Black Tea</t>
        </is>
      </c>
      <c r="D40" s="4" t="n">
        <v>10.5</v>
      </c>
      <c r="E40" s="4" t="inlineStr">
        <is>
          <t>Groceries</t>
        </is>
      </c>
      <c r="F40" s="4" t="inlineStr">
        <is>
          <t>Tea</t>
        </is>
      </c>
      <c r="G40" s="4" t="inlineStr">
        <is>
          <t>500ML</t>
        </is>
      </c>
      <c r="H40" s="4" t="inlineStr">
        <is>
          <t>15/2</t>
        </is>
      </c>
      <c r="I40" s="4">
        <f>IF(H40="","",VALUE(LEFT(H40,FIND("/",H40)-1))/VALUE(MID(H40,FIND("/",H40)+1,99)))</f>
        <v/>
      </c>
      <c r="J40" s="4" t="n"/>
    </row>
    <row r="41">
      <c r="A41" s="4" t="n">
        <v>40</v>
      </c>
      <c r="B41" s="6" t="inlineStr">
        <is>
          <t>Authentic Tea House</t>
        </is>
      </c>
      <c r="C41" s="6" t="inlineStr">
        <is>
          <t>Authentic Tea House Oolong Tea (No Sugar)</t>
        </is>
      </c>
      <c r="D41" s="4" t="n">
        <v>10</v>
      </c>
      <c r="E41" s="4" t="inlineStr">
        <is>
          <t>Groceries</t>
        </is>
      </c>
      <c r="F41" s="4" t="inlineStr">
        <is>
          <t>Tea</t>
        </is>
      </c>
      <c r="G41" s="4" t="inlineStr">
        <is>
          <t>500ML</t>
        </is>
      </c>
      <c r="H41" s="4" t="inlineStr">
        <is>
          <t>13/2</t>
        </is>
      </c>
      <c r="I41" s="4">
        <f>IF(H41="","",VALUE(LEFT(H41,FIND("/",H41)-1))/VALUE(MID(H41,FIND("/",H41)+1,99)))</f>
        <v/>
      </c>
      <c r="J41" s="4" t="n"/>
    </row>
    <row r="42">
      <c r="A42" s="4" t="n">
        <v>41</v>
      </c>
      <c r="B42" s="6" t="inlineStr">
        <is>
          <t>Authentic Tea House</t>
        </is>
      </c>
      <c r="C42" s="6" t="inlineStr">
        <is>
          <t>Authentic Tea House Jasmine Green Tea (No Sugar)</t>
        </is>
      </c>
      <c r="D42" s="4" t="n">
        <v>1.5</v>
      </c>
      <c r="E42" s="4" t="inlineStr">
        <is>
          <t>Groceries</t>
        </is>
      </c>
      <c r="F42" s="4" t="inlineStr">
        <is>
          <t>Tea</t>
        </is>
      </c>
      <c r="G42" s="4" t="inlineStr">
        <is>
          <t>500ML</t>
        </is>
      </c>
      <c r="H42" s="4" t="inlineStr">
        <is>
          <t>15/2</t>
        </is>
      </c>
      <c r="I42" s="4">
        <f>IF(H42="","",VALUE(LEFT(H42,FIND("/",H42)-1))/VALUE(MID(H42,FIND("/",H42)+1,99)))</f>
        <v/>
      </c>
      <c r="J42" s="4" t="n"/>
    </row>
    <row r="43">
      <c r="A43" s="4" t="n">
        <v>42</v>
      </c>
      <c r="B43" s="6" t="inlineStr">
        <is>
          <t>ITO EN</t>
        </is>
      </c>
      <c r="C43" s="6" t="inlineStr">
        <is>
          <t>ITO EN Japanese Green Tea</t>
        </is>
      </c>
      <c r="D43" s="4" t="n">
        <v>10</v>
      </c>
      <c r="E43" s="4" t="inlineStr">
        <is>
          <t>Groceries</t>
        </is>
      </c>
      <c r="F43" s="4" t="inlineStr">
        <is>
          <t>Tea</t>
        </is>
      </c>
      <c r="G43" s="4" t="inlineStr">
        <is>
          <t>500ML</t>
        </is>
      </c>
      <c r="H43" s="4" t="inlineStr">
        <is>
          <t>17/2</t>
        </is>
      </c>
      <c r="I43" s="4">
        <f>IF(H43="","",VALUE(LEFT(H43,FIND("/",H43)-1))/VALUE(MID(H43,FIND("/",H43)+1,99)))</f>
        <v/>
      </c>
      <c r="J43" s="4" t="n"/>
    </row>
    <row r="44">
      <c r="A44" s="4" t="n">
        <v>43</v>
      </c>
      <c r="B44" s="7" t="inlineStr">
        <is>
          <t>Tao Ti</t>
        </is>
      </c>
      <c r="C44" s="7" t="inlineStr">
        <is>
          <t>Tao Ti Supreme Oolong Tea</t>
        </is>
      </c>
      <c r="D44" s="4" t="n">
        <v>9</v>
      </c>
      <c r="E44" s="4" t="inlineStr">
        <is>
          <t>Groceries</t>
        </is>
      </c>
      <c r="F44" s="4" t="inlineStr">
        <is>
          <t>Tea</t>
        </is>
      </c>
      <c r="G44" s="4" t="inlineStr">
        <is>
          <t>500ML</t>
        </is>
      </c>
      <c r="H44" s="4" t="inlineStr">
        <is>
          <t>15/2</t>
        </is>
      </c>
      <c r="I44" s="4">
        <f>IF(H44="","",VALUE(LEFT(H44,FIND("/",H44)-1))/VALUE(MID(H44,FIND("/",H44)+1,99)))</f>
        <v/>
      </c>
      <c r="J44" s="4" t="n"/>
    </row>
    <row r="45">
      <c r="A45" s="4" t="n">
        <v>44</v>
      </c>
      <c r="B45" s="6" t="inlineStr">
        <is>
          <t>Tao Ti</t>
        </is>
      </c>
      <c r="C45" s="7" t="inlineStr">
        <is>
          <t>Tao Ti Supreme Genmaicha</t>
        </is>
      </c>
      <c r="D45" s="4" t="n">
        <v>9</v>
      </c>
      <c r="E45" s="4" t="inlineStr">
        <is>
          <t>Groceries</t>
        </is>
      </c>
      <c r="F45" s="4" t="inlineStr">
        <is>
          <t>Tea</t>
        </is>
      </c>
      <c r="G45" s="4" t="inlineStr">
        <is>
          <t>500ML</t>
        </is>
      </c>
      <c r="H45" s="4" t="inlineStr">
        <is>
          <t>15/2</t>
        </is>
      </c>
      <c r="I45" s="4">
        <f>IF(H45="","",VALUE(LEFT(H45,FIND("/",H45)-1))/VALUE(MID(H45,FIND("/",H45)+1,99)))</f>
        <v/>
      </c>
      <c r="J45" s="4" t="n"/>
    </row>
    <row r="46">
      <c r="A46" s="4" t="n">
        <v>45</v>
      </c>
      <c r="B46" s="6" t="inlineStr">
        <is>
          <t>Suntory</t>
        </is>
      </c>
      <c r="C46" s="6" t="inlineStr">
        <is>
          <t>Suntory Jasmine Oolong Tea</t>
        </is>
      </c>
      <c r="D46" s="4" t="n">
        <v>9</v>
      </c>
      <c r="E46" s="4" t="inlineStr">
        <is>
          <t>Groceries</t>
        </is>
      </c>
      <c r="F46" s="4" t="inlineStr">
        <is>
          <t>Tea</t>
        </is>
      </c>
      <c r="G46" s="4" t="inlineStr">
        <is>
          <t>500ML</t>
        </is>
      </c>
      <c r="H46" s="4" t="inlineStr">
        <is>
          <t>15/2</t>
        </is>
      </c>
      <c r="I46" s="4">
        <f>IF(H46="","",VALUE(LEFT(H46,FIND("/",H46)-1))/VALUE(MID(H46,FIND("/",H46)+1,99)))</f>
        <v/>
      </c>
      <c r="J46" s="4" t="n"/>
    </row>
    <row r="47">
      <c r="A47" s="4" t="n">
        <v>46</v>
      </c>
      <c r="B47" s="6" t="inlineStr">
        <is>
          <t>Suntory</t>
        </is>
      </c>
      <c r="C47" s="6" t="inlineStr">
        <is>
          <t>Suntory Osmanthus Oolong Tea</t>
        </is>
      </c>
      <c r="D47" s="4" t="n">
        <v>9</v>
      </c>
      <c r="E47" s="4" t="inlineStr">
        <is>
          <t>Groceries</t>
        </is>
      </c>
      <c r="F47" s="4" t="inlineStr">
        <is>
          <t>Tea</t>
        </is>
      </c>
      <c r="G47" s="4" t="inlineStr">
        <is>
          <t>500ML</t>
        </is>
      </c>
      <c r="H47" s="4" t="inlineStr">
        <is>
          <t>15/2</t>
        </is>
      </c>
      <c r="I47" s="4">
        <f>IF(H47="","",VALUE(LEFT(H47,FIND("/",H47)-1))/VALUE(MID(H47,FIND("/",H47)+1,99)))</f>
        <v/>
      </c>
      <c r="J47" s="4" t="n"/>
    </row>
    <row r="48">
      <c r="A48" s="4" t="n">
        <v>47</v>
      </c>
      <c r="B48" s="6" t="inlineStr">
        <is>
          <t>Kirin</t>
        </is>
      </c>
      <c r="C48" s="6" t="inlineStr">
        <is>
          <t>Kirin Rich Green Tea</t>
        </is>
      </c>
      <c r="D48" s="4" t="n">
        <v>9</v>
      </c>
      <c r="E48" s="4" t="inlineStr">
        <is>
          <t>Groceries</t>
        </is>
      </c>
      <c r="F48" s="4" t="inlineStr">
        <is>
          <t>Tea</t>
        </is>
      </c>
      <c r="G48" s="4" t="inlineStr">
        <is>
          <t>500ML</t>
        </is>
      </c>
      <c r="H48" s="4" t="inlineStr">
        <is>
          <t>15/2</t>
        </is>
      </c>
      <c r="I48" s="4">
        <f>IF(H48="","",VALUE(LEFT(H48,FIND("/",H48)-1))/VALUE(MID(H48,FIND("/",H48)+1,99)))</f>
        <v/>
      </c>
      <c r="J48" s="4" t="n"/>
    </row>
    <row r="49">
      <c r="A49" s="4" t="n">
        <v>48</v>
      </c>
      <c r="B49" s="6" t="inlineStr">
        <is>
          <t>Rikyu Chasaku</t>
        </is>
      </c>
      <c r="C49" s="6" t="inlineStr">
        <is>
          <t>Rikyu Chasaku Japanese Style Sencha Tea</t>
        </is>
      </c>
      <c r="D49" s="4" t="n">
        <v>8</v>
      </c>
      <c r="E49" s="4" t="inlineStr">
        <is>
          <t>Groceries</t>
        </is>
      </c>
      <c r="F49" s="4" t="inlineStr">
        <is>
          <t>Tea</t>
        </is>
      </c>
      <c r="G49" s="4" t="inlineStr">
        <is>
          <t>550ML</t>
        </is>
      </c>
      <c r="H49" s="4" t="inlineStr">
        <is>
          <t>14/2</t>
        </is>
      </c>
      <c r="I49" s="4">
        <f>IF(H49="","",VALUE(LEFT(H49,FIND("/",H49)-1))/VALUE(MID(H49,FIND("/",H49)+1,99)))</f>
        <v/>
      </c>
      <c r="J49" s="4" t="n"/>
    </row>
    <row r="50">
      <c r="A50" s="4" t="n">
        <v>49</v>
      </c>
      <c r="B50" s="6" t="inlineStr">
        <is>
          <t>Rikyu Chasaku</t>
        </is>
      </c>
      <c r="C50" s="6" t="inlineStr">
        <is>
          <t>Rikyu Chasaku Jasmine Green Tea</t>
        </is>
      </c>
      <c r="D50" s="4" t="n">
        <v>8</v>
      </c>
      <c r="E50" s="4" t="inlineStr">
        <is>
          <t>Groceries</t>
        </is>
      </c>
      <c r="F50" s="4" t="inlineStr">
        <is>
          <t>Tea</t>
        </is>
      </c>
      <c r="G50" s="4" t="inlineStr">
        <is>
          <t>550ML</t>
        </is>
      </c>
      <c r="H50" s="4" t="inlineStr">
        <is>
          <t>14/2</t>
        </is>
      </c>
      <c r="I50" s="4">
        <f>IF(H50="","",VALUE(LEFT(H50,FIND("/",H50)-1))/VALUE(MID(H50,FIND("/",H50)+1,99)))</f>
        <v/>
      </c>
      <c r="J50" s="4" t="n"/>
    </row>
    <row r="51">
      <c r="A51" s="4" t="n">
        <v>50</v>
      </c>
      <c r="B51" s="6" t="inlineStr">
        <is>
          <t>Youcongqi</t>
        </is>
      </c>
      <c r="C51" s="6" t="inlineStr">
        <is>
          <t>Youcongqi Green Mandarin Oolong Tea</t>
        </is>
      </c>
      <c r="D51" s="4" t="n">
        <v>8</v>
      </c>
      <c r="E51" s="4" t="inlineStr">
        <is>
          <t>Groceries</t>
        </is>
      </c>
      <c r="F51" s="4" t="inlineStr">
        <is>
          <t>Tea</t>
        </is>
      </c>
      <c r="G51" s="4" t="inlineStr">
        <is>
          <t>608ML</t>
        </is>
      </c>
      <c r="H51" s="4" t="inlineStr">
        <is>
          <t>20/3</t>
        </is>
      </c>
      <c r="I51" s="4">
        <f>IF(H51="","",VALUE(LEFT(H51,FIND("/",H51)-1))/VALUE(MID(H51,FIND("/",H51)+1,99)))</f>
        <v/>
      </c>
      <c r="J51" s="4" t="n"/>
    </row>
    <row r="52">
      <c r="A52" s="4" t="n">
        <v>51</v>
      </c>
      <c r="B52" s="6" t="inlineStr">
        <is>
          <t>Vita</t>
        </is>
      </c>
      <c r="C52" s="6" t="inlineStr">
        <is>
          <t>Vita Lemon Tea (VLT)</t>
        </is>
      </c>
      <c r="D52" s="4" t="n">
        <v>9</v>
      </c>
      <c r="E52" s="4" t="inlineStr">
        <is>
          <t>Groceries</t>
        </is>
      </c>
      <c r="F52" s="4" t="inlineStr">
        <is>
          <t>Tea</t>
        </is>
      </c>
      <c r="G52" s="4" t="inlineStr">
        <is>
          <t>500ML</t>
        </is>
      </c>
      <c r="H52" s="4" t="inlineStr">
        <is>
          <t>20/3</t>
        </is>
      </c>
      <c r="I52" s="4">
        <f>IF(H52="","",VALUE(LEFT(H52,FIND("/",H52)-1))/VALUE(MID(H52,FIND("/",H52)+1,99)))</f>
        <v/>
      </c>
      <c r="J52" s="4" t="n"/>
    </row>
    <row r="53">
      <c r="A53" s="4" t="n">
        <v>52</v>
      </c>
      <c r="B53" s="6" t="inlineStr">
        <is>
          <t>Vita</t>
        </is>
      </c>
      <c r="C53" s="6" t="inlineStr">
        <is>
          <t>Vita Ya Shi Xiang Lemon Tea</t>
        </is>
      </c>
      <c r="D53" s="4" t="n">
        <v>9</v>
      </c>
      <c r="E53" s="4" t="inlineStr">
        <is>
          <t>Groceries</t>
        </is>
      </c>
      <c r="F53" s="4" t="inlineStr">
        <is>
          <t>Tea</t>
        </is>
      </c>
      <c r="G53" s="4" t="inlineStr">
        <is>
          <t>500ML</t>
        </is>
      </c>
      <c r="H53" s="4" t="inlineStr">
        <is>
          <t>20/3</t>
        </is>
      </c>
      <c r="I53" s="4">
        <f>IF(H53="","",VALUE(LEFT(H53,FIND("/",H53)-1))/VALUE(MID(H53,FIND("/",H53)+1,99)))</f>
        <v/>
      </c>
      <c r="J53" s="4" t="n"/>
    </row>
    <row r="54">
      <c r="A54" s="4" t="n">
        <v>53</v>
      </c>
      <c r="B54" s="6" t="inlineStr">
        <is>
          <t>Tao Ti</t>
        </is>
      </c>
      <c r="C54" s="6" t="inlineStr">
        <is>
          <t>Tao Ti Honey Green Tea (Low Sugar)</t>
        </is>
      </c>
      <c r="D54" s="4" t="n">
        <v>9</v>
      </c>
      <c r="E54" s="4" t="inlineStr">
        <is>
          <t>Groceries</t>
        </is>
      </c>
      <c r="F54" s="4" t="inlineStr">
        <is>
          <t>Tea</t>
        </is>
      </c>
      <c r="G54" s="4" t="inlineStr">
        <is>
          <t>500ML</t>
        </is>
      </c>
      <c r="H54" s="4" t="inlineStr">
        <is>
          <t>15/2</t>
        </is>
      </c>
      <c r="I54" s="4">
        <f>IF(H54="","",VALUE(LEFT(H54,FIND("/",H54)-1))/VALUE(MID(H54,FIND("/",H54)+1,99)))</f>
        <v/>
      </c>
      <c r="J54" s="4" t="n"/>
    </row>
    <row r="55">
      <c r="A55" s="4" t="n">
        <v>54</v>
      </c>
      <c r="B55" s="6" t="inlineStr">
        <is>
          <t>Robiff</t>
        </is>
      </c>
      <c r="C55" s="6" t="inlineStr">
        <is>
          <t>Robiff Ooolong Tea</t>
        </is>
      </c>
      <c r="D55" s="4" t="n">
        <v>9</v>
      </c>
      <c r="E55" s="4" t="inlineStr">
        <is>
          <t>Groceries</t>
        </is>
      </c>
      <c r="F55" s="4" t="inlineStr">
        <is>
          <t>Tea</t>
        </is>
      </c>
      <c r="G55" s="4" t="inlineStr">
        <is>
          <t>500ML</t>
        </is>
      </c>
      <c r="H55" s="4" t="inlineStr">
        <is>
          <t>16/2</t>
        </is>
      </c>
      <c r="I55" s="4">
        <f>IF(H55="","",VALUE(LEFT(H55,FIND("/",H55)-1))/VALUE(MID(H55,FIND("/",H55)+1,99)))</f>
        <v/>
      </c>
      <c r="J55" s="4" t="n"/>
    </row>
    <row r="56">
      <c r="A56" s="4" t="n">
        <v>55</v>
      </c>
      <c r="B56" s="7" t="inlineStr">
        <is>
          <t>Nongfu Spring</t>
        </is>
      </c>
      <c r="C56" s="6" t="inlineStr">
        <is>
          <t>Nongfu Spring Oriental Leaf Ganpu Green Tea Sugar Free</t>
        </is>
      </c>
      <c r="D56" s="4" t="n">
        <v>10</v>
      </c>
      <c r="E56" s="4" t="inlineStr">
        <is>
          <t>Groceries</t>
        </is>
      </c>
      <c r="F56" s="4" t="inlineStr">
        <is>
          <t>Tea</t>
        </is>
      </c>
      <c r="G56" s="4" t="inlineStr">
        <is>
          <t>500ML</t>
        </is>
      </c>
      <c r="H56" s="4" t="inlineStr">
        <is>
          <t>14/2</t>
        </is>
      </c>
      <c r="I56" s="4">
        <f>IF(H56="","",VALUE(LEFT(H56,FIND("/",H56)-1))/VALUE(MID(H56,FIND("/",H56)+1,99)))</f>
        <v/>
      </c>
      <c r="J56" s="4" t="n"/>
    </row>
    <row r="57">
      <c r="A57" s="4" t="n">
        <v>56</v>
      </c>
      <c r="B57" s="6" t="inlineStr">
        <is>
          <t>Kirin</t>
        </is>
      </c>
      <c r="C57" s="6" t="inlineStr">
        <is>
          <t>Kirin Afternoon Tea Lemon</t>
        </is>
      </c>
      <c r="D57" s="4" t="n">
        <v>12</v>
      </c>
      <c r="E57" s="4" t="inlineStr">
        <is>
          <t>Groceries</t>
        </is>
      </c>
      <c r="F57" s="4" t="inlineStr">
        <is>
          <t>Tea</t>
        </is>
      </c>
      <c r="G57" s="4" t="inlineStr">
        <is>
          <t>500ML</t>
        </is>
      </c>
      <c r="H57" s="4" t="inlineStr">
        <is>
          <t>15/2</t>
        </is>
      </c>
      <c r="I57" s="4">
        <f>IF(H57="","",VALUE(LEFT(H57,FIND("/",H57)-1))/VALUE(MID(H57,FIND("/",H57)+1,99)))</f>
        <v/>
      </c>
      <c r="J57" s="4" t="n"/>
    </row>
    <row r="58">
      <c r="A58" s="4" t="n">
        <v>57</v>
      </c>
      <c r="B58" s="6" t="inlineStr">
        <is>
          <t>Tao Ti</t>
        </is>
      </c>
      <c r="C58" s="6" t="inlineStr">
        <is>
          <t>Tao Ti Apple Green Tea</t>
        </is>
      </c>
      <c r="D58" s="4" t="n">
        <v>9</v>
      </c>
      <c r="E58" s="4" t="inlineStr">
        <is>
          <t>Groceries</t>
        </is>
      </c>
      <c r="F58" s="4" t="inlineStr">
        <is>
          <t>Tea</t>
        </is>
      </c>
      <c r="G58" s="4" t="inlineStr">
        <is>
          <t>500ML</t>
        </is>
      </c>
      <c r="H58" s="4" t="inlineStr">
        <is>
          <t>15/2</t>
        </is>
      </c>
      <c r="I58" s="4">
        <f>IF(H58="","",VALUE(LEFT(H58,FIND("/",H58)-1))/VALUE(MID(H58,FIND("/",H58)+1,99)))</f>
        <v/>
      </c>
      <c r="J58" s="4" t="n"/>
    </row>
    <row r="59">
      <c r="A59" s="4" t="n">
        <v>58</v>
      </c>
      <c r="B59" s="6" t="inlineStr">
        <is>
          <t>Tao Ti</t>
        </is>
      </c>
      <c r="C59" s="6" t="inlineStr">
        <is>
          <t>Tao Ti Yashixiang Lemon Tea</t>
        </is>
      </c>
      <c r="D59" s="4" t="n">
        <v>9</v>
      </c>
      <c r="E59" s="4" t="inlineStr">
        <is>
          <t>Groceries</t>
        </is>
      </c>
      <c r="F59" s="4" t="inlineStr">
        <is>
          <t>Tea</t>
        </is>
      </c>
      <c r="G59" s="4" t="inlineStr">
        <is>
          <t>500ML</t>
        </is>
      </c>
      <c r="H59" s="4" t="inlineStr">
        <is>
          <t>15/2</t>
        </is>
      </c>
      <c r="I59" s="4">
        <f>IF(H59="","",VALUE(LEFT(H59,FIND("/",H59)-1))/VALUE(MID(H59,FIND("/",H59)+1,99)))</f>
        <v/>
      </c>
      <c r="J59" s="4" t="n"/>
    </row>
    <row r="60">
      <c r="A60" s="4" t="n">
        <v>59</v>
      </c>
      <c r="B60" s="6" t="inlineStr">
        <is>
          <t>Tao Ti</t>
        </is>
      </c>
      <c r="C60" s="6" t="inlineStr">
        <is>
          <t>Tao Ti Yashixiang Grapefruit Tea</t>
        </is>
      </c>
      <c r="D60" s="4" t="n">
        <v>9</v>
      </c>
      <c r="E60" s="4" t="inlineStr">
        <is>
          <t>Groceries</t>
        </is>
      </c>
      <c r="F60" s="4" t="inlineStr">
        <is>
          <t>Tea</t>
        </is>
      </c>
      <c r="G60" s="4" t="inlineStr">
        <is>
          <t>500ML</t>
        </is>
      </c>
      <c r="H60" s="4" t="inlineStr">
        <is>
          <t>15/2</t>
        </is>
      </c>
      <c r="I60" s="4">
        <f>IF(H60="","",VALUE(LEFT(H60,FIND("/",H60)-1))/VALUE(MID(H60,FIND("/",H60)+1,99)))</f>
        <v/>
      </c>
      <c r="J60" s="4" t="n"/>
    </row>
    <row r="61">
      <c r="A61" s="4" t="n">
        <v>60</v>
      </c>
      <c r="B61" s="6" t="inlineStr">
        <is>
          <t>Authentic Tea House</t>
        </is>
      </c>
      <c r="C61" s="6" t="inlineStr">
        <is>
          <t>Authentic Tea House Oolong Tea (No Sugar)</t>
        </is>
      </c>
      <c r="D61" s="4" t="n">
        <v>17</v>
      </c>
      <c r="E61" s="4" t="inlineStr">
        <is>
          <t>Groceries</t>
        </is>
      </c>
      <c r="F61" s="4" t="inlineStr">
        <is>
          <t>Tea</t>
        </is>
      </c>
      <c r="G61" s="4" t="inlineStr">
        <is>
          <t>1.2L</t>
        </is>
      </c>
      <c r="H61" s="4" t="inlineStr">
        <is>
          <t>25/2</t>
        </is>
      </c>
      <c r="I61" s="4">
        <f>IF(H61="","",VALUE(LEFT(H61,FIND("/",H61)-1))/VALUE(MID(H61,FIND("/",H61)+1,99)))</f>
        <v/>
      </c>
      <c r="J61" s="4" t="n"/>
    </row>
    <row r="62">
      <c r="A62" s="4" t="n">
        <v>61</v>
      </c>
      <c r="B62" s="6" t="inlineStr">
        <is>
          <t>Authentic Tea House</t>
        </is>
      </c>
      <c r="C62" s="6" t="inlineStr">
        <is>
          <t>Authentic Tea House Dahongpao Oolong Tea</t>
        </is>
      </c>
      <c r="D62" s="4" t="n">
        <v>17</v>
      </c>
      <c r="E62" s="4" t="inlineStr">
        <is>
          <t>Groceries</t>
        </is>
      </c>
      <c r="F62" s="4" t="inlineStr">
        <is>
          <t>Tea</t>
        </is>
      </c>
      <c r="G62" s="4" t="inlineStr">
        <is>
          <t>1.2L</t>
        </is>
      </c>
      <c r="H62" s="4" t="inlineStr">
        <is>
          <t>25/2</t>
        </is>
      </c>
      <c r="I62" s="4">
        <f>IF(H62="","",VALUE(LEFT(H62,FIND("/",H62)-1))/VALUE(MID(H62,FIND("/",H62)+1,99)))</f>
        <v/>
      </c>
      <c r="J62" s="4" t="n"/>
    </row>
    <row r="63">
      <c r="A63" s="4" t="n">
        <v>62</v>
      </c>
      <c r="B63" s="6" t="inlineStr">
        <is>
          <t>Authentic Tea House</t>
        </is>
      </c>
      <c r="C63" s="6" t="inlineStr">
        <is>
          <t>Authentic Tea House Yinhao Jasmine Green Tea (No Sugar)</t>
        </is>
      </c>
      <c r="D63" s="4" t="n">
        <v>17</v>
      </c>
      <c r="E63" s="4" t="inlineStr">
        <is>
          <t>Groceries</t>
        </is>
      </c>
      <c r="F63" s="4" t="inlineStr">
        <is>
          <t>Tea</t>
        </is>
      </c>
      <c r="G63" s="4" t="inlineStr">
        <is>
          <t>1.2L</t>
        </is>
      </c>
      <c r="H63" s="4" t="inlineStr">
        <is>
          <t>25/2</t>
        </is>
      </c>
      <c r="I63" s="4">
        <f>IF(H63="","",VALUE(LEFT(H63,FIND("/",H63)-1))/VALUE(MID(H63,FIND("/",H63)+1,99)))</f>
        <v/>
      </c>
      <c r="J63" s="4" t="n"/>
    </row>
    <row r="64">
      <c r="A64" s="4" t="n">
        <v>63</v>
      </c>
      <c r="B64" s="6" t="inlineStr">
        <is>
          <t>Robiff</t>
        </is>
      </c>
      <c r="C64" s="6" t="inlineStr">
        <is>
          <t>Robiff Ooolong Tea</t>
        </is>
      </c>
      <c r="D64" s="5" t="n">
        <v>14</v>
      </c>
      <c r="E64" s="4" t="inlineStr">
        <is>
          <t>Groceries</t>
        </is>
      </c>
      <c r="F64" s="4" t="inlineStr">
        <is>
          <t>Tea</t>
        </is>
      </c>
      <c r="G64" s="4" t="inlineStr">
        <is>
          <t>900ML</t>
        </is>
      </c>
      <c r="H64" s="4" t="n"/>
      <c r="I64" s="4">
        <f>IF(H64="","",VALUE(LEFT(H64,FIND("/",H64)-1))/VALUE(MID(H64,FIND("/",H64)+1,99)))</f>
        <v/>
      </c>
      <c r="J64" s="4" t="inlineStr">
        <is>
          <t>OP = 18</t>
        </is>
      </c>
    </row>
    <row r="65">
      <c r="A65" s="4" t="n">
        <v>64</v>
      </c>
      <c r="B65" s="6" t="inlineStr">
        <is>
          <t xml:space="preserve">Vita </t>
        </is>
      </c>
      <c r="C65" s="6" t="inlineStr">
        <is>
          <t>Vita Cold Brew No Sugar Tie Guan Yin</t>
        </is>
      </c>
      <c r="D65" s="5" t="n">
        <v>11</v>
      </c>
      <c r="E65" s="4" t="inlineStr">
        <is>
          <t>Groceries</t>
        </is>
      </c>
      <c r="F65" s="4" t="inlineStr">
        <is>
          <t>Tea</t>
        </is>
      </c>
      <c r="G65" s="4" t="inlineStr">
        <is>
          <t>860ML</t>
        </is>
      </c>
      <c r="H65" s="4" t="n"/>
      <c r="I65" s="4">
        <f>IF(H65="","",VALUE(LEFT(H65,FIND("/",H65)-1))/VALUE(MID(H65,FIND("/",H65)+1,99)))</f>
        <v/>
      </c>
      <c r="J65" s="4" t="inlineStr">
        <is>
          <t>OP = 11</t>
        </is>
      </c>
    </row>
    <row r="66">
      <c r="A66" s="4" t="n">
        <v>65</v>
      </c>
      <c r="B66" s="6" t="inlineStr">
        <is>
          <t>Del Monte</t>
        </is>
      </c>
      <c r="C66" s="6" t="inlineStr">
        <is>
          <t>Del Monte Tomato Ketchup</t>
        </is>
      </c>
      <c r="D66" s="4" t="n">
        <v>12.5</v>
      </c>
      <c r="E66" s="4" t="inlineStr">
        <is>
          <t>Groceries</t>
        </is>
      </c>
      <c r="F66" s="4" t="inlineStr">
        <is>
          <t>Condiments</t>
        </is>
      </c>
      <c r="G66" s="4" t="inlineStr">
        <is>
          <t>300G</t>
        </is>
      </c>
      <c r="H66" s="4" t="inlineStr">
        <is>
          <t>16/2</t>
        </is>
      </c>
      <c r="I66" s="4">
        <f>IF(H66="","",VALUE(LEFT(H66,FIND("/",H66)-1))/VALUE(MID(H66,FIND("/",H66)+1,99)))</f>
        <v/>
      </c>
      <c r="J66" s="4" t="n"/>
    </row>
    <row r="67">
      <c r="A67" s="4" t="n">
        <v>66</v>
      </c>
      <c r="B67" s="6" t="inlineStr">
        <is>
          <t>COLAVITA</t>
        </is>
      </c>
      <c r="C67" s="6" t="inlineStr">
        <is>
          <t>COLAVITA Aged Balsamic Vinegar</t>
        </is>
      </c>
      <c r="D67" s="4" t="n">
        <v>46</v>
      </c>
      <c r="E67" s="4" t="inlineStr">
        <is>
          <t>Groceries</t>
        </is>
      </c>
      <c r="F67" s="4" t="inlineStr">
        <is>
          <t>Condiments</t>
        </is>
      </c>
      <c r="G67" s="4" t="inlineStr">
        <is>
          <t>500ML</t>
        </is>
      </c>
      <c r="H67" s="4" t="n"/>
      <c r="I67" s="4">
        <f>IF(H67="","",VALUE(LEFT(H67,FIND("/",H67)-1))/VALUE(MID(H67,FIND("/",H67)+1,99)))</f>
        <v/>
      </c>
      <c r="J67" s="4" t="n"/>
    </row>
    <row r="68">
      <c r="A68" s="4" t="n">
        <v>67</v>
      </c>
      <c r="B68" s="6" t="inlineStr">
        <is>
          <t>Kraft</t>
        </is>
      </c>
      <c r="C68" s="6" t="inlineStr">
        <is>
          <t>Kraft Miracle Whip</t>
        </is>
      </c>
      <c r="D68" s="4" t="n">
        <v>43</v>
      </c>
      <c r="E68" s="4" t="inlineStr">
        <is>
          <t>Groceries</t>
        </is>
      </c>
      <c r="F68" s="4" t="inlineStr">
        <is>
          <t>Condiments</t>
        </is>
      </c>
      <c r="G68" s="4" t="inlineStr">
        <is>
          <t>440ML</t>
        </is>
      </c>
      <c r="H68" s="4" t="n"/>
      <c r="I68" s="4">
        <f>IF(H68="","",VALUE(LEFT(H68,FIND("/",H68)-1))/VALUE(MID(H68,FIND("/",H68)+1,99)))</f>
        <v/>
      </c>
      <c r="J68" s="4" t="n"/>
    </row>
    <row r="69">
      <c r="A69" s="4" t="n">
        <v>68</v>
      </c>
      <c r="B69" s="6" t="inlineStr">
        <is>
          <t>SELECT</t>
        </is>
      </c>
      <c r="C69" s="6" t="inlineStr">
        <is>
          <t>SELECT Thousand Island Dressing</t>
        </is>
      </c>
      <c r="D69" s="5" t="n">
        <v>20</v>
      </c>
      <c r="E69" s="4" t="inlineStr">
        <is>
          <t>Groceries</t>
        </is>
      </c>
      <c r="F69" s="4" t="inlineStr">
        <is>
          <t>Condiments</t>
        </is>
      </c>
      <c r="G69" s="4" t="inlineStr">
        <is>
          <t>300G</t>
        </is>
      </c>
      <c r="H69" s="4" t="n"/>
      <c r="I69" s="4">
        <f>IF(H69="","",VALUE(LEFT(H69,FIND("/",H69)-1))/VALUE(MID(H69,FIND("/",H69)+1,99)))</f>
        <v/>
      </c>
      <c r="J69" s="4" t="inlineStr">
        <is>
          <t>OP = 29.9</t>
        </is>
      </c>
    </row>
    <row r="70">
      <c r="A70" s="4" t="n">
        <v>69</v>
      </c>
      <c r="B70" s="6" t="inlineStr">
        <is>
          <t>SELECT</t>
        </is>
      </c>
      <c r="C70" s="6" t="inlineStr">
        <is>
          <t>SELECT Roasted Sesame Sauce</t>
        </is>
      </c>
      <c r="D70" s="5" t="n">
        <v>33</v>
      </c>
      <c r="E70" s="4" t="inlineStr">
        <is>
          <t>Groceries</t>
        </is>
      </c>
      <c r="F70" s="4" t="inlineStr">
        <is>
          <t>Condiments</t>
        </is>
      </c>
      <c r="G70" s="4" t="inlineStr">
        <is>
          <t>390G</t>
        </is>
      </c>
      <c r="H70" s="4" t="n"/>
      <c r="I70" s="4">
        <f>IF(H70="","",VALUE(LEFT(H70,FIND("/",H70)-1))/VALUE(MID(H70,FIND("/",H70)+1,99)))</f>
        <v/>
      </c>
      <c r="J70" s="4" t="inlineStr">
        <is>
          <t>OP = 43</t>
        </is>
      </c>
    </row>
    <row r="71">
      <c r="A71" s="4" t="n">
        <v>70</v>
      </c>
      <c r="B71" s="6" t="inlineStr">
        <is>
          <t>Mizkan</t>
        </is>
      </c>
      <c r="C71" s="6" t="inlineStr">
        <is>
          <t>Mizkan Gold Sesame Sauce</t>
        </is>
      </c>
      <c r="D71" s="4" t="n">
        <v>42</v>
      </c>
      <c r="E71" s="4" t="inlineStr">
        <is>
          <t>Groceries</t>
        </is>
      </c>
      <c r="F71" s="4" t="inlineStr">
        <is>
          <t>Condiments</t>
        </is>
      </c>
      <c r="G71" s="4" t="inlineStr">
        <is>
          <t>250ML</t>
        </is>
      </c>
      <c r="H71" s="4" t="inlineStr">
        <is>
          <t>42/2</t>
        </is>
      </c>
      <c r="I71" s="4">
        <f>IF(H71="","",VALUE(LEFT(H71,FIND("/",H71)-1))/VALUE(MID(H71,FIND("/",H71)+1,99)))</f>
        <v/>
      </c>
      <c r="J71" s="4" t="inlineStr">
        <is>
          <t>Buy 1 Get 1</t>
        </is>
      </c>
    </row>
    <row r="72">
      <c r="A72" s="4" t="n">
        <v>71</v>
      </c>
      <c r="B72" s="6" t="inlineStr">
        <is>
          <t>Kewpie</t>
        </is>
      </c>
      <c r="C72" s="6" t="inlineStr">
        <is>
          <t>Kewpie Roasted Sesame Dressing</t>
        </is>
      </c>
      <c r="D72" s="4" t="n">
        <v>48</v>
      </c>
      <c r="E72" s="4" t="inlineStr">
        <is>
          <t>Groceries</t>
        </is>
      </c>
      <c r="F72" s="4" t="inlineStr">
        <is>
          <t>Condiments</t>
        </is>
      </c>
      <c r="G72" s="4" t="inlineStr">
        <is>
          <t>250ML</t>
        </is>
      </c>
      <c r="H72" s="4" t="inlineStr">
        <is>
          <t>48/2</t>
        </is>
      </c>
      <c r="I72" s="4">
        <f>IF(H72="","",VALUE(LEFT(H72,FIND("/",H72)-1))/VALUE(MID(H72,FIND("/",H72)+1,99)))</f>
        <v/>
      </c>
      <c r="J72" s="4" t="n"/>
    </row>
    <row r="73">
      <c r="A73" s="4" t="n">
        <v>72</v>
      </c>
      <c r="B73" s="6" t="inlineStr">
        <is>
          <t>Kewpie</t>
        </is>
      </c>
      <c r="C73" s="6" t="inlineStr">
        <is>
          <t>Kewpie Japanese Dressing</t>
        </is>
      </c>
      <c r="D73" s="4" t="n">
        <v>48</v>
      </c>
      <c r="E73" s="4" t="inlineStr">
        <is>
          <t>Groceries</t>
        </is>
      </c>
      <c r="F73" s="4" t="inlineStr">
        <is>
          <t>Condiments</t>
        </is>
      </c>
      <c r="G73" s="4" t="inlineStr">
        <is>
          <t>250ML</t>
        </is>
      </c>
      <c r="H73" s="4" t="inlineStr">
        <is>
          <t>48/2</t>
        </is>
      </c>
      <c r="I73" s="4">
        <f>IF(H73="","",VALUE(LEFT(H73,FIND("/",H73)-1))/VALUE(MID(H73,FIND("/",H73)+1,99)))</f>
        <v/>
      </c>
      <c r="J73" s="4" t="n"/>
    </row>
    <row r="74">
      <c r="A74" s="4" t="n">
        <v>73</v>
      </c>
      <c r="B74" s="6" t="inlineStr">
        <is>
          <t>Yummy House</t>
        </is>
      </c>
      <c r="C74" s="6" t="inlineStr">
        <is>
          <t>Double Spicy Mustard Tuber</t>
        </is>
      </c>
      <c r="D74" s="4" t="n">
        <v>16.6</v>
      </c>
      <c r="E74" s="4" t="inlineStr">
        <is>
          <t>Groceries</t>
        </is>
      </c>
      <c r="F74" s="4" t="inlineStr">
        <is>
          <t>Pickles</t>
        </is>
      </c>
      <c r="G74" s="4" t="inlineStr">
        <is>
          <t>210G</t>
        </is>
      </c>
      <c r="H74" s="4" t="n"/>
      <c r="I74" s="4">
        <f>IF(H74="","",VALUE(LEFT(H74,FIND("/",H74)-1))/VALUE(MID(H74,FIND("/",H74)+1,99)))</f>
        <v/>
      </c>
      <c r="J74" s="4" t="n"/>
    </row>
    <row r="75">
      <c r="A75" s="4" t="n">
        <v>74</v>
      </c>
      <c r="B75" s="6" t="inlineStr">
        <is>
          <t>Yummy House</t>
        </is>
      </c>
      <c r="C75" s="6" t="inlineStr">
        <is>
          <t>Sliced Mustard Tuber</t>
        </is>
      </c>
      <c r="D75" s="4" t="n">
        <v>16.6</v>
      </c>
      <c r="E75" s="4" t="inlineStr">
        <is>
          <t>Groceries</t>
        </is>
      </c>
      <c r="F75" s="4" t="inlineStr">
        <is>
          <t>Pickles</t>
        </is>
      </c>
      <c r="G75" s="4" t="inlineStr">
        <is>
          <t>210G</t>
        </is>
      </c>
      <c r="H75" s="4" t="n"/>
      <c r="I75" s="4">
        <f>IF(H75="","",VALUE(LEFT(H75,FIND("/",H75)-1))/VALUE(MID(H75,FIND("/",H75)+1,99)))</f>
        <v/>
      </c>
      <c r="J75" s="4" t="n"/>
    </row>
    <row r="76">
      <c r="A76" s="4" t="n">
        <v>75</v>
      </c>
      <c r="B76" s="6" t="inlineStr">
        <is>
          <t>Yummy House</t>
        </is>
      </c>
      <c r="C76" s="6" t="inlineStr">
        <is>
          <t>Spicy Mustard Tuber</t>
        </is>
      </c>
      <c r="D76" s="4" t="n">
        <v>16.6</v>
      </c>
      <c r="E76" s="4" t="inlineStr">
        <is>
          <t>Groceries</t>
        </is>
      </c>
      <c r="F76" s="4" t="inlineStr">
        <is>
          <t>Pickles</t>
        </is>
      </c>
      <c r="G76" s="4" t="inlineStr">
        <is>
          <t>210G</t>
        </is>
      </c>
      <c r="H76" s="4" t="n"/>
      <c r="I76" s="4">
        <f>IF(H76="","",VALUE(LEFT(H76,FIND("/",H76)-1))/VALUE(MID(H76,FIND("/",H76)+1,99)))</f>
        <v/>
      </c>
      <c r="J76" s="4" t="n"/>
    </row>
    <row r="77">
      <c r="A77" s="4" t="n"/>
      <c r="B77" s="7" t="n"/>
      <c r="C77" s="7" t="n"/>
      <c r="D77" s="4" t="n"/>
      <c r="E77" s="4" t="n"/>
      <c r="F77" s="4" t="n">
        <v>7046</v>
      </c>
      <c r="G77" s="4" t="n"/>
      <c r="H77" s="4" t="n"/>
      <c r="I77" s="4">
        <f>IF(H77="","",VALUE(LEFT(H77,FIND("/",H77)-1))/VALUE(MID(H77,FIND("/",H77)+1,99)))</f>
        <v/>
      </c>
    </row>
    <row r="78">
      <c r="A78" s="4" t="n">
        <v>76</v>
      </c>
      <c r="B78" s="7" t="inlineStr">
        <is>
          <t>Hachi</t>
        </is>
      </c>
      <c r="C78" s="7" t="inlineStr">
        <is>
          <t>Napolitan Spaghetti Sauce</t>
        </is>
      </c>
      <c r="D78" s="4" t="n">
        <v>18</v>
      </c>
      <c r="E78" s="4" t="inlineStr">
        <is>
          <t>Groceries</t>
        </is>
      </c>
      <c r="F78" s="4" t="inlineStr">
        <is>
          <t>Sauces</t>
        </is>
      </c>
      <c r="G78" s="4" t="inlineStr">
        <is>
          <t>285G</t>
        </is>
      </c>
      <c r="H78" s="4" t="inlineStr">
        <is>
          <t>18/2</t>
        </is>
      </c>
      <c r="I78" s="4">
        <f>IF(H78="","",VALUE(LEFT(H78,FIND("/",H78)-1))/VALUE(MID(H78,FIND("/",H78)+1,99)))</f>
        <v/>
      </c>
    </row>
    <row r="79">
      <c r="A79" s="4" t="n">
        <v>77</v>
      </c>
      <c r="B79" s="6" t="inlineStr">
        <is>
          <t>Hachi</t>
        </is>
      </c>
      <c r="C79" s="6" t="inlineStr">
        <is>
          <t xml:space="preserve">Carbonara Spaghetti Sauce </t>
        </is>
      </c>
      <c r="D79" s="4" t="n">
        <v>18</v>
      </c>
      <c r="E79" s="4" t="inlineStr">
        <is>
          <t>Groceries</t>
        </is>
      </c>
      <c r="F79" s="4" t="inlineStr">
        <is>
          <t>Sauces</t>
        </is>
      </c>
      <c r="G79" s="4" t="inlineStr">
        <is>
          <t>285G</t>
        </is>
      </c>
      <c r="H79" s="4" t="inlineStr">
        <is>
          <t>18/2</t>
        </is>
      </c>
      <c r="I79" s="4">
        <f>IF(H79="","",VALUE(LEFT(H79,FIND("/",H79)-1))/VALUE(MID(H79,FIND("/",H79)+1,99)))</f>
        <v/>
      </c>
      <c r="J79" s="4" t="n"/>
    </row>
    <row r="80">
      <c r="A80" s="4" t="n">
        <v>78</v>
      </c>
      <c r="B80" s="6" t="inlineStr">
        <is>
          <t>Hachi</t>
        </is>
      </c>
      <c r="C80" s="6" t="inlineStr">
        <is>
          <t xml:space="preserve">Arrabiata Spaghetti Sauce </t>
        </is>
      </c>
      <c r="D80" s="4" t="n">
        <v>18</v>
      </c>
      <c r="E80" s="4" t="inlineStr">
        <is>
          <t>Groceries</t>
        </is>
      </c>
      <c r="F80" s="4" t="inlineStr">
        <is>
          <t>Sauces</t>
        </is>
      </c>
      <c r="G80" s="4" t="inlineStr">
        <is>
          <t>285G</t>
        </is>
      </c>
      <c r="H80" s="4" t="inlineStr">
        <is>
          <t>18/2</t>
        </is>
      </c>
      <c r="I80" s="4">
        <f>IF(H80="","",VALUE(LEFT(H80,FIND("/",H80)-1))/VALUE(MID(H80,FIND("/",H80)+1,99)))</f>
        <v/>
      </c>
      <c r="J80" s="4" t="n"/>
    </row>
    <row r="81">
      <c r="A81" s="4" t="n">
        <v>79</v>
      </c>
      <c r="B81" s="6" t="inlineStr">
        <is>
          <t>Hachi</t>
        </is>
      </c>
      <c r="C81" s="6" t="inlineStr">
        <is>
          <t>Clams Consomme Spaghetti Sauce</t>
        </is>
      </c>
      <c r="D81" s="4" t="n">
        <v>18</v>
      </c>
      <c r="E81" s="4" t="inlineStr">
        <is>
          <t>Groceries</t>
        </is>
      </c>
      <c r="F81" s="4" t="inlineStr">
        <is>
          <t>Sauces</t>
        </is>
      </c>
      <c r="G81" s="4" t="inlineStr">
        <is>
          <t>285G</t>
        </is>
      </c>
      <c r="H81" s="4" t="inlineStr">
        <is>
          <t>18/2</t>
        </is>
      </c>
      <c r="I81" s="4">
        <f>IF(H81="","",VALUE(LEFT(H81,FIND("/",H81)-1))/VALUE(MID(H81,FIND("/",H81)+1,99)))</f>
        <v/>
      </c>
      <c r="J81" s="4" t="n"/>
    </row>
    <row r="82">
      <c r="A82" s="4" t="n">
        <v>80</v>
      </c>
      <c r="B82" s="6" t="inlineStr">
        <is>
          <t>Old El Paso</t>
        </is>
      </c>
      <c r="C82" s="6" t="inlineStr">
        <is>
          <t>Original Chunky Salsa (Mild)</t>
        </is>
      </c>
      <c r="D82" s="4" t="n">
        <v>52</v>
      </c>
      <c r="E82" s="4" t="inlineStr">
        <is>
          <t>Groceries</t>
        </is>
      </c>
      <c r="F82" s="4" t="inlineStr">
        <is>
          <t>Sauces</t>
        </is>
      </c>
      <c r="G82" s="4" t="inlineStr">
        <is>
          <t>226G</t>
        </is>
      </c>
      <c r="H82" s="4" t="n"/>
      <c r="I82" s="4">
        <f>IF(H82="","",VALUE(LEFT(H82,FIND("/",H82)-1))/VALUE(MID(H82,FIND("/",H82)+1,99)))</f>
        <v/>
      </c>
      <c r="J82" s="4" t="n"/>
    </row>
    <row r="83">
      <c r="A83" s="4" t="n">
        <v>81</v>
      </c>
      <c r="B83" s="6" t="inlineStr">
        <is>
          <t>Lao Gan Ma</t>
        </is>
      </c>
      <c r="C83" s="6" t="inlineStr">
        <is>
          <t>Black Bean With Chili Oil</t>
        </is>
      </c>
      <c r="D83" s="5" t="n">
        <v>17</v>
      </c>
      <c r="E83" s="4" t="inlineStr">
        <is>
          <t>Groceries</t>
        </is>
      </c>
      <c r="F83" s="4" t="inlineStr">
        <is>
          <t>Seasonings</t>
        </is>
      </c>
      <c r="G83" s="4" t="inlineStr">
        <is>
          <t>280G</t>
        </is>
      </c>
      <c r="H83" s="4" t="n"/>
      <c r="I83" s="4">
        <f>IF(H83="","",VALUE(LEFT(H83,FIND("/",H83)-1))/VALUE(MID(H83,FIND("/",H83)+1,99)))</f>
        <v/>
      </c>
      <c r="J83" s="4" t="inlineStr">
        <is>
          <t>OP = 30</t>
        </is>
      </c>
    </row>
    <row r="84">
      <c r="A84" s="4" t="n">
        <v>82</v>
      </c>
      <c r="B84" s="6" t="inlineStr">
        <is>
          <t>Lee Kum Kee</t>
        </is>
      </c>
      <c r="C84" s="6" t="inlineStr">
        <is>
          <t>Minced Garlic (213G)</t>
        </is>
      </c>
      <c r="D84" s="4" t="n">
        <v>16</v>
      </c>
      <c r="E84" s="4" t="inlineStr">
        <is>
          <t>Groceries</t>
        </is>
      </c>
      <c r="F84" s="4" t="inlineStr">
        <is>
          <t>Seasonings</t>
        </is>
      </c>
      <c r="G84" s="4" t="inlineStr">
        <is>
          <t>213G</t>
        </is>
      </c>
      <c r="H84" s="4" t="inlineStr">
        <is>
          <t>25/2</t>
        </is>
      </c>
      <c r="I84" s="4">
        <f>IF(H84="","",VALUE(LEFT(H84,FIND("/",H84)-1))/VALUE(MID(H84,FIND("/",H84)+1,99)))</f>
        <v/>
      </c>
      <c r="J84" s="4" t="n"/>
    </row>
    <row r="85">
      <c r="A85" s="4" t="n">
        <v>83</v>
      </c>
      <c r="B85" s="6" t="inlineStr">
        <is>
          <t>Lee Kum Kee</t>
        </is>
      </c>
      <c r="C85" s="6" t="inlineStr">
        <is>
          <t>Minced Garlic (326G)</t>
        </is>
      </c>
      <c r="D85" s="4" t="n">
        <v>26</v>
      </c>
      <c r="E85" s="4" t="inlineStr">
        <is>
          <t>Groceries</t>
        </is>
      </c>
      <c r="F85" s="4" t="inlineStr">
        <is>
          <t>Seasonings</t>
        </is>
      </c>
      <c r="G85" s="4" t="inlineStr">
        <is>
          <t>326G</t>
        </is>
      </c>
      <c r="H85" s="4" t="n"/>
      <c r="I85" s="4">
        <f>IF(H85="","",VALUE(LEFT(H85,FIND("/",H85)-1))/VALUE(MID(H85,FIND("/",H85)+1,99)))</f>
        <v/>
      </c>
      <c r="J85" s="4" t="n"/>
    </row>
    <row r="86">
      <c r="A86" s="4" t="n">
        <v>84</v>
      </c>
      <c r="B86" s="6" t="inlineStr">
        <is>
          <t>Lee Kum Kee</t>
        </is>
      </c>
      <c r="C86" s="6" t="inlineStr">
        <is>
          <t>Soy Bean Sauce</t>
        </is>
      </c>
      <c r="D86" s="4" t="n">
        <v>18</v>
      </c>
      <c r="E86" s="4" t="inlineStr">
        <is>
          <t>Groceries</t>
        </is>
      </c>
      <c r="F86" s="4" t="inlineStr">
        <is>
          <t>Seasonings</t>
        </is>
      </c>
      <c r="G86" s="4" t="inlineStr">
        <is>
          <t>240G</t>
        </is>
      </c>
      <c r="H86" s="4" t="inlineStr">
        <is>
          <t>30/2</t>
        </is>
      </c>
      <c r="I86" s="4">
        <f>IF(H86="","",VALUE(LEFT(H86,FIND("/",H86)-1))/VALUE(MID(H86,FIND("/",H86)+1,99)))</f>
        <v/>
      </c>
      <c r="J86" s="4" t="n"/>
    </row>
    <row r="87">
      <c r="A87" s="4" t="n">
        <v>85</v>
      </c>
      <c r="B87" s="6" t="inlineStr">
        <is>
          <t>Lee Kum Kee</t>
        </is>
      </c>
      <c r="C87" s="6" t="inlineStr">
        <is>
          <t>Char Siu Sauce</t>
        </is>
      </c>
      <c r="D87" s="4" t="n">
        <v>18</v>
      </c>
      <c r="E87" s="4" t="inlineStr">
        <is>
          <t>Groceries</t>
        </is>
      </c>
      <c r="F87" s="4" t="inlineStr">
        <is>
          <t>Condiments</t>
        </is>
      </c>
      <c r="G87" s="4" t="inlineStr">
        <is>
          <t>240G</t>
        </is>
      </c>
      <c r="H87" s="4" t="n"/>
      <c r="I87" s="4">
        <f>IF(H87="","",VALUE(LEFT(H87,FIND("/",H87)-1))/VALUE(MID(H87,FIND("/",H87)+1,99)))</f>
        <v/>
      </c>
      <c r="J87" s="4" t="n"/>
    </row>
    <row r="88">
      <c r="A88" s="4" t="n">
        <v>86</v>
      </c>
      <c r="B88" s="6" t="inlineStr">
        <is>
          <t>Lee Kum Kee</t>
        </is>
      </c>
      <c r="C88" s="6" t="inlineStr">
        <is>
          <t>Chili Garlic Sauce</t>
        </is>
      </c>
      <c r="D88" s="4" t="n">
        <v>19</v>
      </c>
      <c r="E88" s="4" t="inlineStr">
        <is>
          <t>Groceries</t>
        </is>
      </c>
      <c r="F88" s="4" t="inlineStr">
        <is>
          <t>Seasonings</t>
        </is>
      </c>
      <c r="G88" s="4" t="inlineStr">
        <is>
          <t>226G</t>
        </is>
      </c>
      <c r="H88" s="4" t="n"/>
      <c r="I88" s="4">
        <f>IF(H88="","",VALUE(LEFT(H88,FIND("/",H88)-1))/VALUE(MID(H88,FIND("/",H88)+1,99)))</f>
        <v/>
      </c>
      <c r="J88" s="4" t="n"/>
    </row>
    <row r="89">
      <c r="A89" s="4" t="n">
        <v>87</v>
      </c>
      <c r="B89" s="6" t="inlineStr">
        <is>
          <t>Amoy</t>
        </is>
      </c>
      <c r="C89" s="6" t="inlineStr">
        <is>
          <t>Black Sesame Oil</t>
        </is>
      </c>
      <c r="D89" s="4" t="n">
        <v>21.9</v>
      </c>
      <c r="E89" s="4" t="inlineStr">
        <is>
          <t>Groceries</t>
        </is>
      </c>
      <c r="F89" s="4" t="inlineStr">
        <is>
          <t>Seasonings</t>
        </is>
      </c>
      <c r="G89" s="4" t="inlineStr">
        <is>
          <t>150ML</t>
        </is>
      </c>
      <c r="H89" s="4" t="n"/>
      <c r="I89" s="4">
        <f>IF(H89="","",VALUE(LEFT(H89,FIND("/",H89)-1))/VALUE(MID(H89,FIND("/",H89)+1,99)))</f>
        <v/>
      </c>
      <c r="J89" s="4" t="n"/>
    </row>
    <row r="90">
      <c r="A90" s="4" t="n">
        <v>88</v>
      </c>
      <c r="B90" s="6" t="inlineStr">
        <is>
          <t>Lee Kum Kee</t>
        </is>
      </c>
      <c r="C90" s="6" t="inlineStr">
        <is>
          <t>Dim Sum Soy Sauce</t>
        </is>
      </c>
      <c r="D90" s="4" t="n">
        <v>10.9</v>
      </c>
      <c r="E90" s="4" t="inlineStr">
        <is>
          <t>Groceries</t>
        </is>
      </c>
      <c r="F90" s="4" t="inlineStr">
        <is>
          <t>Seasonings</t>
        </is>
      </c>
      <c r="G90" s="4" t="inlineStr">
        <is>
          <t>207ML</t>
        </is>
      </c>
      <c r="H90" s="4" t="n"/>
      <c r="I90" s="4">
        <f>IF(H90="","",VALUE(LEFT(H90,FIND("/",H90)-1))/VALUE(MID(H90,FIND("/",H90)+1,99)))</f>
        <v/>
      </c>
      <c r="J90" s="4" t="n"/>
    </row>
    <row r="91">
      <c r="A91" s="4" t="n">
        <v>89</v>
      </c>
      <c r="B91" s="6" t="inlineStr">
        <is>
          <t>Lee Kum Kee</t>
        </is>
      </c>
      <c r="C91" s="6" t="inlineStr">
        <is>
          <t>Garlic Soy Sauce</t>
        </is>
      </c>
      <c r="D91" s="4" t="n">
        <v>17</v>
      </c>
      <c r="E91" s="4" t="inlineStr">
        <is>
          <t>Groceries</t>
        </is>
      </c>
      <c r="F91" s="4" t="inlineStr">
        <is>
          <t>Seasonings</t>
        </is>
      </c>
      <c r="G91" s="4" t="inlineStr">
        <is>
          <t>250G</t>
        </is>
      </c>
      <c r="H91" s="4" t="n"/>
      <c r="I91" s="4">
        <f>IF(H91="","",VALUE(LEFT(H91,FIND("/",H91)-1))/VALUE(MID(H91,FIND("/",H91)+1,99)))</f>
        <v/>
      </c>
      <c r="J91" s="4" t="n"/>
    </row>
    <row r="92">
      <c r="A92" s="4" t="n">
        <v>90</v>
      </c>
      <c r="B92" s="6" t="inlineStr">
        <is>
          <t>Lee Kum Kee</t>
        </is>
      </c>
      <c r="C92" s="6" t="inlineStr">
        <is>
          <t>Chili Soy Sauce</t>
        </is>
      </c>
      <c r="D92" s="4" t="n">
        <v>12</v>
      </c>
      <c r="E92" s="4" t="inlineStr">
        <is>
          <t>Groceries</t>
        </is>
      </c>
      <c r="F92" s="4" t="inlineStr">
        <is>
          <t>Seasonings</t>
        </is>
      </c>
      <c r="G92" s="4" t="inlineStr">
        <is>
          <t>207ML</t>
        </is>
      </c>
      <c r="H92" s="4" t="n"/>
      <c r="I92" s="4">
        <f>IF(H92="","",VALUE(LEFT(H92,FIND("/",H92)-1))/VALUE(MID(H92,FIND("/",H92)+1,99)))</f>
        <v/>
      </c>
      <c r="J92" s="4" t="n"/>
    </row>
    <row r="93">
      <c r="A93" s="4" t="n">
        <v>91</v>
      </c>
      <c r="B93" s="6" t="inlineStr">
        <is>
          <t>Amoy</t>
        </is>
      </c>
      <c r="C93" s="6" t="inlineStr">
        <is>
          <t>Spicy Vinegar</t>
        </is>
      </c>
      <c r="D93" s="4" t="n">
        <v>11</v>
      </c>
      <c r="E93" s="4" t="inlineStr">
        <is>
          <t>Groceries</t>
        </is>
      </c>
      <c r="F93" s="4" t="inlineStr">
        <is>
          <t>Seasonings</t>
        </is>
      </c>
      <c r="G93" s="4" t="inlineStr">
        <is>
          <t>250ML</t>
        </is>
      </c>
      <c r="H93" s="4" t="n"/>
      <c r="I93" s="4">
        <f>IF(H93="","",VALUE(LEFT(H93,FIND("/",H93)-1))/VALUE(MID(H93,FIND("/",H93)+1,99)))</f>
        <v/>
      </c>
      <c r="J93" s="4" t="n"/>
    </row>
    <row r="94">
      <c r="A94" s="4" t="n">
        <v>92</v>
      </c>
      <c r="B94" s="6" t="inlineStr">
        <is>
          <t>Kraft</t>
        </is>
      </c>
      <c r="C94" s="6" t="inlineStr">
        <is>
          <t>Grated Parmesan</t>
        </is>
      </c>
      <c r="D94" s="5" t="n">
        <v>17</v>
      </c>
      <c r="E94" s="4" t="inlineStr">
        <is>
          <t>Groceries</t>
        </is>
      </c>
      <c r="F94" s="4" t="inlineStr">
        <is>
          <t>Seasonings</t>
        </is>
      </c>
      <c r="G94" s="4" t="inlineStr">
        <is>
          <t>40G</t>
        </is>
      </c>
      <c r="H94" s="4" t="n"/>
      <c r="I94" s="4">
        <f>IF(H94="","",VALUE(LEFT(H94,FIND("/",H94)-1))/VALUE(MID(H94,FIND("/",H94)+1,99)))</f>
        <v/>
      </c>
      <c r="J94" s="4" t="inlineStr">
        <is>
          <t>OP = 19.9</t>
        </is>
      </c>
    </row>
    <row r="95">
      <c r="A95" s="4" t="n">
        <v>93</v>
      </c>
      <c r="B95" s="6" t="inlineStr">
        <is>
          <t>Tabasco</t>
        </is>
      </c>
      <c r="C95" s="6" t="inlineStr">
        <is>
          <t xml:space="preserve">Tabasco Pepper Sauce </t>
        </is>
      </c>
      <c r="D95" s="4" t="n">
        <v>22</v>
      </c>
      <c r="E95" s="4" t="inlineStr">
        <is>
          <t>Groceries</t>
        </is>
      </c>
      <c r="F95" s="4" t="inlineStr">
        <is>
          <t>Condiments</t>
        </is>
      </c>
      <c r="G95" s="4" t="inlineStr">
        <is>
          <t>60ML</t>
        </is>
      </c>
      <c r="H95" s="4" t="n"/>
      <c r="I95" s="4">
        <f>IF(H95="","",VALUE(LEFT(H95,FIND("/",H95)-1))/VALUE(MID(H95,FIND("/",H95)+1,99)))</f>
        <v/>
      </c>
      <c r="J95" s="4" t="n"/>
    </row>
    <row r="96">
      <c r="A96" s="4" t="n">
        <v>94</v>
      </c>
      <c r="B96" s="6" t="inlineStr">
        <is>
          <t>S&amp;B</t>
        </is>
      </c>
      <c r="C96" s="6" t="inlineStr">
        <is>
          <t>Neri Wasabi</t>
        </is>
      </c>
      <c r="D96" s="4" t="n">
        <v>16</v>
      </c>
      <c r="E96" s="4" t="inlineStr">
        <is>
          <t>Groceries</t>
        </is>
      </c>
      <c r="F96" s="4" t="inlineStr">
        <is>
          <t>Condiments</t>
        </is>
      </c>
      <c r="G96" s="4" t="inlineStr">
        <is>
          <t>43G</t>
        </is>
      </c>
      <c r="H96" s="4" t="n"/>
      <c r="I96" s="4">
        <f>IF(H96="","",VALUE(LEFT(H96,FIND("/",H96)-1))/VALUE(MID(H96,FIND("/",H96)+1,99)))</f>
        <v/>
      </c>
      <c r="J96" s="4" t="n"/>
    </row>
    <row r="97">
      <c r="A97" s="4" t="n">
        <v>95</v>
      </c>
      <c r="B97" s="6" t="inlineStr">
        <is>
          <t>Sheng Long</t>
        </is>
      </c>
      <c r="C97" s="6" t="inlineStr">
        <is>
          <t>Fermented Rice Wine</t>
        </is>
      </c>
      <c r="D97" s="4" t="n">
        <v>43.9</v>
      </c>
      <c r="E97" s="4" t="inlineStr">
        <is>
          <t>Groceries</t>
        </is>
      </c>
      <c r="F97" s="4" t="inlineStr">
        <is>
          <t>Seasonings</t>
        </is>
      </c>
      <c r="G97" s="4" t="inlineStr">
        <is>
          <t>838G</t>
        </is>
      </c>
      <c r="H97" s="4" t="n"/>
      <c r="I97" s="4">
        <f>IF(H97="","",VALUE(LEFT(H97,FIND("/",H97)-1))/VALUE(MID(H97,FIND("/",H97)+1,99)))</f>
        <v/>
      </c>
      <c r="J97" s="4" t="n"/>
    </row>
    <row r="98">
      <c r="A98" s="4" t="n">
        <v>96</v>
      </c>
      <c r="B98" s="6" t="inlineStr">
        <is>
          <t xml:space="preserve">P/R Bridge </t>
        </is>
      </c>
      <c r="C98" s="6" t="inlineStr">
        <is>
          <t>Shuang Jin Chiew (M)</t>
        </is>
      </c>
      <c r="D98" s="4" t="n">
        <v>11.9</v>
      </c>
      <c r="E98" s="4" t="inlineStr">
        <is>
          <t>Groceries</t>
        </is>
      </c>
      <c r="F98" s="4" t="inlineStr">
        <is>
          <t>Seasonings</t>
        </is>
      </c>
      <c r="G98" s="4" t="inlineStr">
        <is>
          <t>250ML</t>
        </is>
      </c>
      <c r="H98" s="4" t="n"/>
      <c r="I98" s="4">
        <f>IF(H98="","",VALUE(LEFT(H98,FIND("/",H98)-1))/VALUE(MID(H98,FIND("/",H98)+1,99)))</f>
        <v/>
      </c>
      <c r="J98" s="4" t="n"/>
    </row>
    <row r="99">
      <c r="A99" s="4" t="n">
        <v>97</v>
      </c>
      <c r="B99" s="6" t="inlineStr">
        <is>
          <t xml:space="preserve">P/R Bridge </t>
        </is>
      </c>
      <c r="C99" s="6" t="inlineStr">
        <is>
          <t>Kwangtung Mijiu (M)</t>
        </is>
      </c>
      <c r="D99" s="4" t="n"/>
      <c r="E99" s="4" t="n"/>
      <c r="F99" s="4" t="n"/>
      <c r="G99" s="4" t="n"/>
      <c r="H99" s="4" t="n"/>
      <c r="I99" s="4">
        <f>IF(H99="","",VALUE(LEFT(H99,FIND("/",H99)-1))/VALUE(MID(H99,FIND("/",H99)+1,99)))</f>
        <v/>
      </c>
      <c r="J99" s="4" t="n"/>
    </row>
    <row r="100">
      <c r="A100" s="4" t="n">
        <v>98</v>
      </c>
      <c r="B100" s="6" t="n"/>
      <c r="C100" s="6" t="n"/>
      <c r="D100" s="4" t="n"/>
      <c r="E100" s="4" t="n"/>
      <c r="F100" s="4" t="n"/>
      <c r="G100" s="4" t="n"/>
      <c r="H100" s="4" t="n"/>
      <c r="I100" s="4">
        <f>IF(H100="","",VALUE(LEFT(H100,FIND("/",H100)-1))/VALUE(MID(H100,FIND("/",H100)+1,99)))</f>
        <v/>
      </c>
      <c r="J100" s="4" t="n"/>
    </row>
    <row r="101">
      <c r="A101" s="4" t="n">
        <v>99</v>
      </c>
      <c r="B101" s="6" t="n"/>
      <c r="C101" s="6" t="n"/>
      <c r="D101" s="4" t="n"/>
      <c r="E101" s="4" t="inlineStr">
        <is>
          <t>Fresh Food</t>
        </is>
      </c>
      <c r="F101" s="4" t="n"/>
      <c r="G101" s="4" t="n"/>
      <c r="H101" s="4" t="n"/>
      <c r="I101" s="4">
        <f>IF(H101="","",VALUE(LEFT(H101,FIND("/",H101)-1))/VALUE(MID(H101,FIND("/",H101)+1,99)))</f>
        <v/>
      </c>
      <c r="J101" s="4" t="n"/>
    </row>
    <row r="102">
      <c r="A102" s="4" t="n">
        <v>7047</v>
      </c>
    </row>
    <row r="103">
      <c r="A103" s="4" t="n">
        <v>100</v>
      </c>
      <c r="B103" s="6" t="inlineStr">
        <is>
          <t>Pearl River Bridge</t>
        </is>
      </c>
      <c r="C103" s="6" t="inlineStr">
        <is>
          <t>Shuang JIn Chiew (Jiujiang Shuang Zheng Rice Wine)</t>
        </is>
      </c>
      <c r="D103" s="4" t="n">
        <v>11.9</v>
      </c>
      <c r="E103" s="4" t="inlineStr">
        <is>
          <t>Groceries</t>
        </is>
      </c>
      <c r="F103" s="4" t="inlineStr">
        <is>
          <t>Seasonings</t>
        </is>
      </c>
      <c r="G103" s="4" t="inlineStr">
        <is>
          <t>500 ML</t>
        </is>
      </c>
      <c r="H103" s="4" t="n"/>
      <c r="I103" s="4">
        <f>IF(H103="","",VALUE(LEFT(H103,FIND("/",H103)-1))/VALUE(MID(H103,FIND("/",H103)+1,99)))</f>
        <v/>
      </c>
      <c r="J103" s="4" t="n"/>
    </row>
    <row r="104">
      <c r="A104" s="4" t="n">
        <v>101</v>
      </c>
      <c r="B104" s="6" t="inlineStr">
        <is>
          <t>Pearl River Bridge</t>
        </is>
      </c>
      <c r="C104" s="6" t="inlineStr">
        <is>
          <t>Kwantung Miju (Guangdong Cooking Wine)</t>
        </is>
      </c>
      <c r="D104" s="4" t="n">
        <v>11.9</v>
      </c>
      <c r="E104" s="4" t="inlineStr">
        <is>
          <t>Groceries</t>
        </is>
      </c>
      <c r="F104" s="4" t="inlineStr">
        <is>
          <t>Seasonings</t>
        </is>
      </c>
      <c r="G104" s="4" t="inlineStr">
        <is>
          <t>500 ML</t>
        </is>
      </c>
      <c r="H104" s="4" t="n"/>
      <c r="I104" s="4">
        <f>IF(H104="","",VALUE(LEFT(H104,FIND("/",H104)-1))/VALUE(MID(H104,FIND("/",H104)+1,99)))</f>
        <v/>
      </c>
      <c r="J104" s="4" t="n"/>
    </row>
    <row r="105">
      <c r="A105" s="4" t="n">
        <v>102</v>
      </c>
      <c r="B105" s="6" t="inlineStr">
        <is>
          <t>Guyue Longshan</t>
        </is>
      </c>
      <c r="C105" s="6" t="inlineStr">
        <is>
          <t>Xiang Zao Lu (Chinese Fragranced Cooking Wine)</t>
        </is>
      </c>
      <c r="D105" s="4" t="n">
        <v>20.9</v>
      </c>
      <c r="E105" s="4" t="inlineStr">
        <is>
          <t>Groceries</t>
        </is>
      </c>
      <c r="F105" s="4" t="inlineStr">
        <is>
          <t>Seasonings</t>
        </is>
      </c>
      <c r="G105" s="4" t="inlineStr">
        <is>
          <t>500 ML</t>
        </is>
      </c>
      <c r="H105" s="4" t="n"/>
      <c r="I105" s="4">
        <f>IF(H105="","",VALUE(LEFT(H105,FIND("/",H105)-1))/VALUE(MID(H105,FIND("/",H105)+1,99)))</f>
        <v/>
      </c>
      <c r="J105" s="4" t="n"/>
    </row>
    <row r="106">
      <c r="A106" s="4" t="n">
        <v>103</v>
      </c>
      <c r="B106" s="6" t="inlineStr">
        <is>
          <t>Select</t>
        </is>
      </c>
      <c r="C106" s="6" t="inlineStr">
        <is>
          <t>White Vinegar</t>
        </is>
      </c>
      <c r="D106" s="4" t="n">
        <v>12.9</v>
      </c>
      <c r="E106" s="4" t="inlineStr">
        <is>
          <t>Groceries</t>
        </is>
      </c>
      <c r="F106" s="4" t="inlineStr">
        <is>
          <t>Seasonings</t>
        </is>
      </c>
      <c r="G106" s="4" t="inlineStr">
        <is>
          <t>500 ML</t>
        </is>
      </c>
      <c r="H106" s="4" t="n"/>
      <c r="I106" s="4">
        <f>IF(H106="","",VALUE(LEFT(H106,FIND("/",H106)-1))/VALUE(MID(H106,FIND("/",H106)+1,99)))</f>
        <v/>
      </c>
      <c r="J106" s="4" t="n"/>
    </row>
    <row r="107">
      <c r="A107" s="4" t="n">
        <v>104</v>
      </c>
      <c r="B107" s="6" t="inlineStr">
        <is>
          <t>Kikkoman</t>
        </is>
      </c>
      <c r="C107" s="6" t="inlineStr">
        <is>
          <t>Naturally Brewed Soy Suace</t>
        </is>
      </c>
      <c r="D107" s="4" t="n">
        <v>17</v>
      </c>
      <c r="E107" s="4" t="inlineStr">
        <is>
          <t>Groceries</t>
        </is>
      </c>
      <c r="F107" s="4" t="inlineStr">
        <is>
          <t>Seasonings</t>
        </is>
      </c>
      <c r="G107" s="4" t="inlineStr">
        <is>
          <t>500 ML</t>
        </is>
      </c>
      <c r="H107" s="4" t="inlineStr">
        <is>
          <t>34/2</t>
        </is>
      </c>
      <c r="I107" s="4">
        <f>IF(H107="","",VALUE(LEFT(H107,FIND("/",H107)-1))/VALUE(MID(H107,FIND("/",H107)+1,99)))</f>
        <v/>
      </c>
      <c r="J107" s="4" t="n"/>
    </row>
    <row r="108">
      <c r="A108" s="4" t="n">
        <v>105</v>
      </c>
      <c r="B108" s="6" t="inlineStr">
        <is>
          <t>Kikkoman</t>
        </is>
      </c>
      <c r="C108" s="6" t="inlineStr">
        <is>
          <t>Naturally Brewed Soy Sauce</t>
        </is>
      </c>
      <c r="D108" s="4" t="n">
        <v>36</v>
      </c>
      <c r="E108" s="4" t="inlineStr">
        <is>
          <t>Groceries</t>
        </is>
      </c>
      <c r="F108" s="4" t="inlineStr">
        <is>
          <t>Seasonings</t>
        </is>
      </c>
      <c r="G108" s="4" t="inlineStr">
        <is>
          <t>600 ML</t>
        </is>
      </c>
      <c r="H108" s="4" t="n"/>
      <c r="I108" s="4">
        <f>IF(H108="","",VALUE(LEFT(H108,FIND("/",H108)-1))/VALUE(MID(H108,FIND("/",H108)+1,99)))</f>
        <v/>
      </c>
      <c r="J108" s="4" t="n"/>
    </row>
    <row r="109">
      <c r="A109" s="4" t="n">
        <v>106</v>
      </c>
      <c r="B109" s="6" t="inlineStr">
        <is>
          <t>Kikkoman</t>
        </is>
      </c>
      <c r="C109" s="6" t="inlineStr">
        <is>
          <t>Naturally Brewed Less Salt Soy Sauce</t>
        </is>
      </c>
      <c r="D109" s="4" t="n">
        <v>39</v>
      </c>
      <c r="E109" s="4" t="inlineStr">
        <is>
          <t>Groceries</t>
        </is>
      </c>
      <c r="F109" s="4" t="inlineStr">
        <is>
          <t>Seasonings</t>
        </is>
      </c>
      <c r="G109" s="4" t="inlineStr">
        <is>
          <t>600 ML</t>
        </is>
      </c>
      <c r="H109" s="4" t="n"/>
      <c r="I109" s="4">
        <f>IF(H109="","",VALUE(LEFT(H109,FIND("/",H109)-1))/VALUE(MID(H109,FIND("/",H109)+1,99)))</f>
        <v/>
      </c>
      <c r="J109" s="4" t="n"/>
    </row>
    <row r="110">
      <c r="A110" s="4" t="n">
        <v>107</v>
      </c>
      <c r="B110" s="6" t="inlineStr">
        <is>
          <t>Lee Kum Kee</t>
        </is>
      </c>
      <c r="C110" s="6" t="inlineStr">
        <is>
          <t>Premium Light Soy Sauce</t>
        </is>
      </c>
      <c r="D110" s="4" t="n">
        <v>13</v>
      </c>
      <c r="E110" s="4" t="inlineStr">
        <is>
          <t>Groceries</t>
        </is>
      </c>
      <c r="F110" s="4" t="inlineStr">
        <is>
          <t>Seasonings</t>
        </is>
      </c>
      <c r="G110" s="4" t="inlineStr">
        <is>
          <t>500 ML</t>
        </is>
      </c>
      <c r="H110" s="4" t="inlineStr">
        <is>
          <t>18/2</t>
        </is>
      </c>
      <c r="I110" s="4">
        <f>IF(H110="","",VALUE(LEFT(H110,FIND("/",H110)-1))/VALUE(MID(H110,FIND("/",H110)+1,99)))</f>
        <v/>
      </c>
      <c r="J110" s="4" t="n"/>
    </row>
    <row r="111">
      <c r="A111" s="4" t="n">
        <v>108</v>
      </c>
      <c r="B111" s="6" t="inlineStr">
        <is>
          <t>Amoy</t>
        </is>
      </c>
      <c r="C111" s="6" t="inlineStr">
        <is>
          <t>Gold Label Light Soy Sauce</t>
        </is>
      </c>
      <c r="D111" s="4" t="n">
        <v>11.5</v>
      </c>
      <c r="E111" s="4" t="inlineStr">
        <is>
          <t>Groceries</t>
        </is>
      </c>
      <c r="F111" s="4" t="inlineStr">
        <is>
          <t>Seasonings</t>
        </is>
      </c>
      <c r="G111" s="4" t="inlineStr">
        <is>
          <t>500 ML</t>
        </is>
      </c>
      <c r="H111" s="4" t="n"/>
      <c r="I111" s="4">
        <f>IF(H111="","",VALUE(LEFT(H111,FIND("/",H111)-1))/VALUE(MID(H111,FIND("/",H111)+1,99)))</f>
        <v/>
      </c>
      <c r="J111" s="4" t="n"/>
    </row>
    <row r="112">
      <c r="A112" s="4" t="n">
        <v>109</v>
      </c>
      <c r="B112" s="6" t="inlineStr">
        <is>
          <t>Suree</t>
        </is>
      </c>
      <c r="C112" s="6" t="inlineStr">
        <is>
          <t>Fish Fauce</t>
        </is>
      </c>
      <c r="D112" s="4" t="n">
        <v>20</v>
      </c>
      <c r="E112" s="4" t="inlineStr">
        <is>
          <t>Groceries</t>
        </is>
      </c>
      <c r="F112" s="4" t="inlineStr">
        <is>
          <t>Seasonings</t>
        </is>
      </c>
      <c r="G112" s="4" t="inlineStr">
        <is>
          <t>500 ML</t>
        </is>
      </c>
      <c r="H112" s="4" t="n"/>
      <c r="I112" s="4">
        <f>IF(H112="","",VALUE(LEFT(H112,FIND("/",H112)-1))/VALUE(MID(H112,FIND("/",H112)+1,99)))</f>
        <v/>
      </c>
      <c r="J112" s="4" t="n"/>
    </row>
    <row r="113">
      <c r="A113" s="4" t="n">
        <v>110</v>
      </c>
      <c r="B113" s="6" t="inlineStr">
        <is>
          <t>Hakata</t>
        </is>
      </c>
      <c r="C113" s="6" t="inlineStr">
        <is>
          <t>Hanamidori 10 Kinds of Extravagant Spices</t>
        </is>
      </c>
      <c r="D113" s="4" t="n">
        <v>50</v>
      </c>
      <c r="E113" s="4" t="inlineStr">
        <is>
          <t>Groceries</t>
        </is>
      </c>
      <c r="F113" s="4" t="inlineStr">
        <is>
          <t>Seasonings</t>
        </is>
      </c>
      <c r="G113" s="4" t="inlineStr">
        <is>
          <t>55 G</t>
        </is>
      </c>
      <c r="H113" s="4" t="n"/>
      <c r="I113" s="4">
        <f>IF(H113="","",VALUE(LEFT(H113,FIND("/",H113)-1))/VALUE(MID(H113,FIND("/",H113)+1,99)))</f>
        <v/>
      </c>
      <c r="J113" s="4" t="n"/>
    </row>
    <row r="114">
      <c r="A114" s="4" t="n">
        <v>111</v>
      </c>
      <c r="B114" s="6" t="inlineStr">
        <is>
          <t xml:space="preserve">Lawry's </t>
        </is>
      </c>
      <c r="C114" s="6" t="inlineStr">
        <is>
          <t>Garlic Salt</t>
        </is>
      </c>
      <c r="D114" s="4" t="n">
        <v>39</v>
      </c>
      <c r="E114" s="4" t="inlineStr">
        <is>
          <t>Groceries</t>
        </is>
      </c>
      <c r="F114" s="4" t="inlineStr">
        <is>
          <t>Seasonings</t>
        </is>
      </c>
      <c r="G114" s="4" t="inlineStr">
        <is>
          <t>85 G</t>
        </is>
      </c>
      <c r="H114" s="4" t="n"/>
      <c r="I114" s="4">
        <f>IF(H114="","",VALUE(LEFT(H114,FIND("/",H114)-1))/VALUE(MID(H114,FIND("/",H114)+1,99)))</f>
        <v/>
      </c>
      <c r="J114" s="4" t="n"/>
    </row>
    <row r="115">
      <c r="A115" s="4" t="n">
        <v>112</v>
      </c>
      <c r="B115" s="6" t="inlineStr">
        <is>
          <t xml:space="preserve">Lawry's </t>
        </is>
      </c>
      <c r="C115" s="6" t="inlineStr">
        <is>
          <t>Garlic Powder</t>
        </is>
      </c>
      <c r="D115" s="4" t="n">
        <v>96.5</v>
      </c>
      <c r="E115" s="4" t="inlineStr">
        <is>
          <t>Groceries</t>
        </is>
      </c>
      <c r="F115" s="4" t="inlineStr">
        <is>
          <t>Seasonings</t>
        </is>
      </c>
      <c r="G115" s="4" t="inlineStr">
        <is>
          <t>155 G</t>
        </is>
      </c>
      <c r="H115" s="4" t="n"/>
      <c r="I115" s="4">
        <f>IF(H115="","",VALUE(LEFT(H115,FIND("/",H115)-1))/VALUE(MID(H115,FIND("/",H115)+1,99)))</f>
        <v/>
      </c>
      <c r="J115" s="4" t="n"/>
    </row>
    <row r="116">
      <c r="A116" s="4" t="n">
        <v>113</v>
      </c>
      <c r="B116" s="6" t="inlineStr">
        <is>
          <t>Food Nation</t>
        </is>
      </c>
      <c r="C116" s="6" t="inlineStr">
        <is>
          <t>HImalaya Salt</t>
        </is>
      </c>
      <c r="D116" s="5" t="n">
        <v>28</v>
      </c>
      <c r="E116" s="4" t="inlineStr">
        <is>
          <t>Groceries</t>
        </is>
      </c>
      <c r="F116" s="4" t="inlineStr">
        <is>
          <t>Seasonings</t>
        </is>
      </c>
      <c r="G116" s="4" t="inlineStr">
        <is>
          <t>100 G</t>
        </is>
      </c>
      <c r="H116" s="4" t="n"/>
      <c r="I116" s="4">
        <f>IF(H116="","",VALUE(LEFT(H116,FIND("/",H116)-1))/VALUE(MID(H116,FIND("/",H116)+1,99)))</f>
        <v/>
      </c>
      <c r="J116" s="4" t="inlineStr">
        <is>
          <t>OP: 34.9</t>
        </is>
      </c>
    </row>
    <row r="117">
      <c r="A117" s="4" t="n">
        <v>114</v>
      </c>
      <c r="B117" s="6" t="inlineStr">
        <is>
          <t>Food Nation</t>
        </is>
      </c>
      <c r="C117" s="6" t="inlineStr">
        <is>
          <t>Chilli Pepper &amp; Salt</t>
        </is>
      </c>
      <c r="D117" s="5" t="n">
        <v>28</v>
      </c>
      <c r="E117" s="4" t="inlineStr">
        <is>
          <t>Groceries</t>
        </is>
      </c>
      <c r="F117" s="4" t="inlineStr">
        <is>
          <t>Seasonings</t>
        </is>
      </c>
      <c r="G117" s="4" t="inlineStr">
        <is>
          <t>45 G</t>
        </is>
      </c>
      <c r="H117" s="4" t="n"/>
      <c r="I117" s="4">
        <f>IF(H117="","",VALUE(LEFT(H117,FIND("/",H117)-1))/VALUE(MID(H117,FIND("/",H117)+1,99)))</f>
        <v/>
      </c>
      <c r="J117" s="4" t="inlineStr">
        <is>
          <t>OP: 34.9</t>
        </is>
      </c>
    </row>
    <row r="118">
      <c r="A118" s="4" t="n">
        <v>115</v>
      </c>
      <c r="B118" s="6" t="inlineStr">
        <is>
          <t>Food Nation</t>
        </is>
      </c>
      <c r="C118" s="6" t="inlineStr">
        <is>
          <t>Pepper Onion &amp; Coriander Salt</t>
        </is>
      </c>
      <c r="D118" s="4" t="n">
        <v>34.9</v>
      </c>
      <c r="E118" s="4" t="inlineStr">
        <is>
          <t>Groceries</t>
        </is>
      </c>
      <c r="F118" s="4" t="inlineStr">
        <is>
          <t>Seasonings</t>
        </is>
      </c>
      <c r="G118" s="4" t="inlineStr">
        <is>
          <t>60 G</t>
        </is>
      </c>
      <c r="H118" s="4" t="n"/>
      <c r="I118" s="4">
        <f>IF(H118="","",VALUE(LEFT(H118,FIND("/",H118)-1))/VALUE(MID(H118,FIND("/",H118)+1,99)))</f>
        <v/>
      </c>
      <c r="J118" s="4" t="n"/>
    </row>
    <row r="119">
      <c r="A119" s="4" t="n">
        <v>116</v>
      </c>
      <c r="B119" s="6" t="inlineStr">
        <is>
          <t>Food Nation</t>
        </is>
      </c>
      <c r="C119" s="6" t="inlineStr">
        <is>
          <t>Pepper Garlic &amp; Mustard Seeds Salt</t>
        </is>
      </c>
      <c r="D119" s="4" t="n">
        <v>34.9</v>
      </c>
      <c r="E119" s="4" t="inlineStr">
        <is>
          <t>Groceries</t>
        </is>
      </c>
      <c r="F119" s="4" t="inlineStr">
        <is>
          <t>Seasonings</t>
        </is>
      </c>
      <c r="G119" s="4" t="inlineStr">
        <is>
          <t>60 G</t>
        </is>
      </c>
      <c r="H119" s="4" t="n"/>
      <c r="I119" s="4">
        <f>IF(H119="","",VALUE(LEFT(H119,FIND("/",H119)-1))/VALUE(MID(H119,FIND("/",H119)+1,99)))</f>
        <v/>
      </c>
      <c r="J119" s="4" t="n"/>
    </row>
    <row r="120">
      <c r="A120" s="4" t="n">
        <v>117</v>
      </c>
      <c r="B120" s="6" t="inlineStr">
        <is>
          <t>Select</t>
        </is>
      </c>
      <c r="C120" s="6" t="inlineStr">
        <is>
          <t>Rosemary</t>
        </is>
      </c>
      <c r="D120" s="5" t="n">
        <v>21</v>
      </c>
      <c r="E120" s="4" t="inlineStr">
        <is>
          <t>Groceries</t>
        </is>
      </c>
      <c r="F120" s="4" t="inlineStr">
        <is>
          <t>Seasonings</t>
        </is>
      </c>
      <c r="G120" s="4" t="inlineStr">
        <is>
          <t>10 G</t>
        </is>
      </c>
      <c r="H120" s="4" t="n"/>
      <c r="I120" s="4">
        <f>IF(H120="","",VALUE(LEFT(H120,FIND("/",H120)-1))/VALUE(MID(H120,FIND("/",H120)+1,99)))</f>
        <v/>
      </c>
      <c r="J120" s="4" t="inlineStr">
        <is>
          <t>OP: 29.9</t>
        </is>
      </c>
    </row>
    <row r="121">
      <c r="A121" s="4" t="n">
        <v>118</v>
      </c>
      <c r="B121" s="6" t="inlineStr">
        <is>
          <t>Select</t>
        </is>
      </c>
      <c r="C121" s="6" t="inlineStr">
        <is>
          <t>Thyme</t>
        </is>
      </c>
      <c r="D121" s="5" t="n">
        <v>21</v>
      </c>
      <c r="E121" s="4" t="inlineStr">
        <is>
          <t>Groceries</t>
        </is>
      </c>
      <c r="F121" s="4" t="inlineStr">
        <is>
          <t>Seasonings</t>
        </is>
      </c>
      <c r="G121" s="4" t="inlineStr">
        <is>
          <t>10 G</t>
        </is>
      </c>
      <c r="H121" s="4" t="n"/>
      <c r="I121" s="4">
        <f>IF(H121="","",VALUE(LEFT(H121,FIND("/",H121)-1))/VALUE(MID(H121,FIND("/",H121)+1,99)))</f>
        <v/>
      </c>
      <c r="J121" s="4" t="inlineStr">
        <is>
          <t>OP: 29.9</t>
        </is>
      </c>
    </row>
    <row r="122">
      <c r="A122" s="4" t="n">
        <v>119</v>
      </c>
      <c r="B122" s="6" t="inlineStr">
        <is>
          <t>Select</t>
        </is>
      </c>
      <c r="C122" s="6" t="inlineStr">
        <is>
          <t>Oregano</t>
        </is>
      </c>
      <c r="D122" s="5" t="n">
        <v>21</v>
      </c>
      <c r="E122" s="4" t="inlineStr">
        <is>
          <t>Groceries</t>
        </is>
      </c>
      <c r="F122" s="4" t="inlineStr">
        <is>
          <t>Seasonings</t>
        </is>
      </c>
      <c r="G122" s="4" t="inlineStr">
        <is>
          <t>10 G</t>
        </is>
      </c>
      <c r="H122" s="4" t="n"/>
      <c r="I122" s="4">
        <f>IF(H122="","",VALUE(LEFT(H122,FIND("/",H122)-1))/VALUE(MID(H122,FIND("/",H122)+1,99)))</f>
        <v/>
      </c>
      <c r="J122" s="4" t="inlineStr">
        <is>
          <t>OP: 29.9</t>
        </is>
      </c>
    </row>
    <row r="123">
      <c r="A123" s="4" t="n">
        <v>120</v>
      </c>
      <c r="B123" s="6" t="inlineStr">
        <is>
          <t>Select</t>
        </is>
      </c>
      <c r="C123" s="6" t="inlineStr">
        <is>
          <t>Parsley</t>
        </is>
      </c>
      <c r="D123" s="5" t="n">
        <v>21</v>
      </c>
      <c r="E123" s="4" t="inlineStr">
        <is>
          <t>Groceries</t>
        </is>
      </c>
      <c r="F123" s="4" t="inlineStr">
        <is>
          <t>Seasonings</t>
        </is>
      </c>
      <c r="G123" s="4" t="inlineStr">
        <is>
          <t>10 G</t>
        </is>
      </c>
      <c r="H123" s="4" t="n"/>
      <c r="I123" s="4">
        <f>IF(H123="","",VALUE(LEFT(H123,FIND("/",H123)-1))/VALUE(MID(H123,FIND("/",H123)+1,99)))</f>
        <v/>
      </c>
      <c r="J123" s="4" t="inlineStr">
        <is>
          <t>OP: 29.9</t>
        </is>
      </c>
    </row>
    <row r="124">
      <c r="A124" s="4" t="n">
        <v>121</v>
      </c>
      <c r="B124" s="6" t="inlineStr">
        <is>
          <t>Select</t>
        </is>
      </c>
      <c r="C124" s="6" t="inlineStr">
        <is>
          <t>Cumin Powder</t>
        </is>
      </c>
      <c r="D124" s="5" t="n">
        <v>21</v>
      </c>
      <c r="E124" s="4" t="inlineStr">
        <is>
          <t>Groceries</t>
        </is>
      </c>
      <c r="F124" s="4" t="inlineStr">
        <is>
          <t>Seasonings</t>
        </is>
      </c>
      <c r="G124" s="4" t="inlineStr">
        <is>
          <t>10 G</t>
        </is>
      </c>
      <c r="H124" s="4" t="n"/>
      <c r="I124" s="4">
        <f>IF(H124="","",VALUE(LEFT(H124,FIND("/",H124)-1))/VALUE(MID(H124,FIND("/",H124)+1,99)))</f>
        <v/>
      </c>
      <c r="J124" s="4" t="inlineStr">
        <is>
          <t>OP: 29.9</t>
        </is>
      </c>
    </row>
    <row r="125">
      <c r="A125" s="4" t="n">
        <v>122</v>
      </c>
      <c r="B125" s="6" t="inlineStr">
        <is>
          <t>Knorr</t>
        </is>
      </c>
      <c r="C125" s="6" t="inlineStr">
        <is>
          <t>Mushroom Powder</t>
        </is>
      </c>
      <c r="D125" s="4" t="n">
        <v>33</v>
      </c>
      <c r="E125" s="4" t="inlineStr">
        <is>
          <t>Groceries</t>
        </is>
      </c>
      <c r="F125" s="4" t="inlineStr">
        <is>
          <t>Seasonings</t>
        </is>
      </c>
      <c r="G125" s="4" t="inlineStr">
        <is>
          <t>200 G</t>
        </is>
      </c>
      <c r="H125" s="4" t="n"/>
      <c r="I125" s="4">
        <f>IF(H125="","",VALUE(LEFT(H125,FIND("/",H125)-1))/VALUE(MID(H125,FIND("/",H125)+1,99)))</f>
        <v/>
      </c>
      <c r="J125" s="4" t="n"/>
    </row>
    <row r="126">
      <c r="A126" s="4" t="n">
        <v>123</v>
      </c>
      <c r="B126" s="6" t="inlineStr">
        <is>
          <t>Select</t>
        </is>
      </c>
      <c r="C126" s="6" t="inlineStr">
        <is>
          <t>Australian Sea Salt</t>
        </is>
      </c>
      <c r="D126" s="5" t="n">
        <v>29.9</v>
      </c>
      <c r="E126" s="4" t="inlineStr">
        <is>
          <t>Groceries</t>
        </is>
      </c>
      <c r="F126" s="4" t="inlineStr">
        <is>
          <t>Seasonings</t>
        </is>
      </c>
      <c r="G126" s="4" t="inlineStr">
        <is>
          <t>535 G</t>
        </is>
      </c>
      <c r="H126" s="4" t="n"/>
      <c r="I126" s="4">
        <f>IF(H126="","",VALUE(LEFT(H126,FIND("/",H126)-1))/VALUE(MID(H126,FIND("/",H126)+1,99)))</f>
        <v/>
      </c>
      <c r="J126" s="4" t="inlineStr">
        <is>
          <t>OP: 39.9</t>
        </is>
      </c>
    </row>
    <row r="127">
      <c r="A127" s="4" t="n">
        <v>124</v>
      </c>
      <c r="B127" s="6" t="inlineStr">
        <is>
          <t>Swanson</t>
        </is>
      </c>
      <c r="C127" s="6" t="inlineStr">
        <is>
          <t>Concentrated Chicken Stock</t>
        </is>
      </c>
      <c r="D127" s="4" t="n">
        <v>26</v>
      </c>
      <c r="E127" s="4" t="inlineStr">
        <is>
          <t>Groceries</t>
        </is>
      </c>
      <c r="F127" s="4" t="inlineStr">
        <is>
          <t>Seasonings</t>
        </is>
      </c>
      <c r="G127" s="4" t="inlineStr">
        <is>
          <t>270 G</t>
        </is>
      </c>
      <c r="H127" s="4" t="n"/>
      <c r="I127" s="4">
        <f>IF(H127="","",VALUE(LEFT(H127,FIND("/",H127)-1))/VALUE(MID(H127,FIND("/",H127)+1,99)))</f>
        <v/>
      </c>
      <c r="J127" s="4" t="n"/>
    </row>
    <row r="128">
      <c r="A128" s="4" t="n">
        <v>125</v>
      </c>
      <c r="B128" s="6" t="inlineStr">
        <is>
          <t>Select</t>
        </is>
      </c>
      <c r="C128" s="6" t="inlineStr">
        <is>
          <t>Chicken Powder</t>
        </is>
      </c>
      <c r="D128" s="4" t="n">
        <v>25</v>
      </c>
      <c r="E128" s="4" t="inlineStr">
        <is>
          <t>Groceries</t>
        </is>
      </c>
      <c r="F128" s="4" t="inlineStr">
        <is>
          <t>Seasonings</t>
        </is>
      </c>
      <c r="G128" s="4" t="inlineStr">
        <is>
          <t>575 G</t>
        </is>
      </c>
      <c r="H128" s="4" t="n"/>
      <c r="I128" s="4">
        <f>IF(H128="","",VALUE(LEFT(H128,FIND("/",H128)-1))/VALUE(MID(H128,FIND("/",H128)+1,99)))</f>
        <v/>
      </c>
      <c r="J128" s="4" t="n"/>
    </row>
    <row r="129">
      <c r="A129" s="4" t="n">
        <v>126</v>
      </c>
      <c r="B129" s="6" t="inlineStr">
        <is>
          <t>Knorr</t>
        </is>
      </c>
      <c r="C129" s="6" t="inlineStr">
        <is>
          <t>Chicken Powder</t>
        </is>
      </c>
      <c r="D129" s="4" t="n">
        <v>25.9</v>
      </c>
      <c r="E129" s="4" t="inlineStr">
        <is>
          <t>Groceries</t>
        </is>
      </c>
      <c r="F129" s="4" t="inlineStr">
        <is>
          <t>Seasonings</t>
        </is>
      </c>
      <c r="G129" s="4" t="inlineStr">
        <is>
          <t>273 G</t>
        </is>
      </c>
      <c r="H129" s="4" t="n"/>
      <c r="I129" s="4">
        <f>IF(H129="","",VALUE(LEFT(H129,FIND("/",H129)-1))/VALUE(MID(H129,FIND("/",H129)+1,99)))</f>
        <v/>
      </c>
      <c r="J129" s="4" t="n"/>
    </row>
    <row r="130">
      <c r="A130" s="4" t="n">
        <v>127</v>
      </c>
      <c r="B130" s="6" t="inlineStr">
        <is>
          <t>Lee Kum Kee</t>
        </is>
      </c>
      <c r="C130" s="6" t="inlineStr">
        <is>
          <t xml:space="preserve">Premium Chicken Bouilion POwder </t>
        </is>
      </c>
      <c r="D130" s="4" t="n">
        <v>32.9</v>
      </c>
      <c r="E130" s="4" t="inlineStr">
        <is>
          <t>Groceries</t>
        </is>
      </c>
      <c r="F130" s="4" t="inlineStr">
        <is>
          <t>Seasonings</t>
        </is>
      </c>
      <c r="G130" s="4" t="inlineStr">
        <is>
          <t>175 G</t>
        </is>
      </c>
      <c r="H130" s="4" t="n"/>
      <c r="I130" s="4">
        <f>IF(H130="","",VALUE(LEFT(H130,FIND("/",H130)-1))/VALUE(MID(H130,FIND("/",H130)+1,99)))</f>
        <v/>
      </c>
      <c r="J130" s="4" t="n"/>
    </row>
    <row r="131">
      <c r="A131" s="4" t="n">
        <v>128</v>
      </c>
      <c r="B131" s="6" t="inlineStr">
        <is>
          <t>Meadows</t>
        </is>
      </c>
      <c r="C131" s="6" t="inlineStr">
        <is>
          <t>Sugar</t>
        </is>
      </c>
      <c r="D131" s="4" t="n">
        <v>9.9</v>
      </c>
      <c r="E131" s="4" t="inlineStr">
        <is>
          <t>Groceries</t>
        </is>
      </c>
      <c r="F131" s="4" t="inlineStr">
        <is>
          <t>Seasonings</t>
        </is>
      </c>
      <c r="G131" s="4" t="inlineStr">
        <is>
          <t>700 G</t>
        </is>
      </c>
      <c r="H131" s="4" t="inlineStr">
        <is>
          <t>14/2</t>
        </is>
      </c>
      <c r="I131" s="4">
        <f>IF(H131="","",VALUE(LEFT(H131,FIND("/",H131)-1))/VALUE(MID(H131,FIND("/",H131)+1,99)))</f>
        <v/>
      </c>
      <c r="J131" s="4" t="inlineStr">
        <is>
          <t>14 for 2</t>
        </is>
      </c>
    </row>
    <row r="132">
      <c r="A132" s="4" t="n">
        <v>129</v>
      </c>
      <c r="B132" s="6" t="inlineStr">
        <is>
          <t>Taikoo</t>
        </is>
      </c>
      <c r="C132" s="6" t="inlineStr">
        <is>
          <t>Sugar</t>
        </is>
      </c>
      <c r="D132" s="4" t="n">
        <v>10</v>
      </c>
      <c r="E132" s="4" t="inlineStr">
        <is>
          <t>Groceries</t>
        </is>
      </c>
      <c r="F132" s="4" t="inlineStr">
        <is>
          <t>Seasonings</t>
        </is>
      </c>
      <c r="G132" s="4" t="inlineStr">
        <is>
          <t>700 G</t>
        </is>
      </c>
      <c r="H132" s="4" t="inlineStr">
        <is>
          <t>17.5/2</t>
        </is>
      </c>
      <c r="I132" s="4">
        <f>IF(H132="","",VALUE(LEFT(H132,FIND("/",H132)-1))/VALUE(MID(H132,FIND("/",H132)+1,99)))</f>
        <v/>
      </c>
      <c r="J132" s="4" t="inlineStr">
        <is>
          <t>17.5 for 2</t>
        </is>
      </c>
    </row>
    <row r="133">
      <c r="A133" s="4" t="n">
        <v>130</v>
      </c>
      <c r="B133" s="6" t="inlineStr">
        <is>
          <t>Taikoo</t>
        </is>
      </c>
      <c r="C133" s="6" t="inlineStr">
        <is>
          <t>Red Sugar</t>
        </is>
      </c>
      <c r="D133" s="4" t="n">
        <v>31</v>
      </c>
      <c r="E133" s="4" t="inlineStr">
        <is>
          <t>Groceries</t>
        </is>
      </c>
      <c r="F133" s="4" t="inlineStr">
        <is>
          <t>Seasonings</t>
        </is>
      </c>
      <c r="G133" s="4" t="inlineStr">
        <is>
          <t>1 KG</t>
        </is>
      </c>
      <c r="H133" s="4" t="n"/>
      <c r="I133" s="4">
        <f>IF(H133="","",VALUE(LEFT(H133,FIND("/",H133)-1))/VALUE(MID(H133,FIND("/",H133)+1,99)))</f>
        <v/>
      </c>
      <c r="J133" s="4" t="inlineStr">
        <is>
          <t>OP: 11.5</t>
        </is>
      </c>
    </row>
    <row r="134">
      <c r="A134" s="4" t="n">
        <v>131</v>
      </c>
      <c r="B134" s="6" t="inlineStr">
        <is>
          <t>Gold Medal</t>
        </is>
      </c>
      <c r="C134" s="6" t="inlineStr">
        <is>
          <t>Raw Slab Sugar</t>
        </is>
      </c>
      <c r="D134" s="5" t="n">
        <v>10</v>
      </c>
      <c r="E134" s="4" t="inlineStr">
        <is>
          <t>Groceries</t>
        </is>
      </c>
      <c r="F134" s="4" t="inlineStr">
        <is>
          <t>Seasonings</t>
        </is>
      </c>
      <c r="G134" s="4" t="inlineStr">
        <is>
          <t>400 G</t>
        </is>
      </c>
      <c r="H134" s="4" t="n"/>
      <c r="I134" s="4">
        <f>IF(H134="","",VALUE(LEFT(H134,FIND("/",H134)-1))/VALUE(MID(H134,FIND("/",H134)+1,99)))</f>
        <v/>
      </c>
      <c r="J134" s="4" t="inlineStr">
        <is>
          <t>OP: 11.5</t>
        </is>
      </c>
    </row>
    <row r="135">
      <c r="A135" s="4" t="n">
        <v>132</v>
      </c>
      <c r="B135" s="6" t="inlineStr">
        <is>
          <t>Taikoo</t>
        </is>
      </c>
      <c r="C135" s="6" t="inlineStr">
        <is>
          <t>Rock Sugar</t>
        </is>
      </c>
      <c r="D135" s="4" t="n">
        <v>12</v>
      </c>
      <c r="E135" s="4" t="inlineStr">
        <is>
          <t>Groceries</t>
        </is>
      </c>
      <c r="F135" s="4" t="inlineStr">
        <is>
          <t>Seasonings</t>
        </is>
      </c>
      <c r="G135" s="4" t="inlineStr">
        <is>
          <t>350 G</t>
        </is>
      </c>
      <c r="H135" s="4" t="inlineStr">
        <is>
          <t>20.5/2</t>
        </is>
      </c>
      <c r="I135" s="4">
        <f>IF(H135="","",VALUE(LEFT(H135,FIND("/",H135)-1))/VALUE(MID(H135,FIND("/",H135)+1,99)))</f>
        <v/>
      </c>
      <c r="J135" s="4" t="n"/>
    </row>
    <row r="136">
      <c r="A136" s="4" t="n">
        <v>133</v>
      </c>
      <c r="B136" s="6" t="inlineStr">
        <is>
          <t>Gold Medal</t>
        </is>
      </c>
      <c r="C136" s="6" t="inlineStr">
        <is>
          <t>Rock Sugar</t>
        </is>
      </c>
      <c r="D136" s="5" t="n">
        <v>14</v>
      </c>
      <c r="E136" s="4" t="inlineStr">
        <is>
          <t>Groceries</t>
        </is>
      </c>
      <c r="F136" s="4" t="inlineStr">
        <is>
          <t>Seasonings</t>
        </is>
      </c>
      <c r="G136" s="4" t="inlineStr">
        <is>
          <t>400 G</t>
        </is>
      </c>
      <c r="H136" s="4" t="n"/>
      <c r="I136" s="4">
        <f>IF(H136="","",VALUE(LEFT(H136,FIND("/",H136)-1))/VALUE(MID(H136,FIND("/",H136)+1,99)))</f>
        <v/>
      </c>
      <c r="J136" s="4" t="inlineStr">
        <is>
          <t>OP: 15</t>
        </is>
      </c>
    </row>
    <row r="137">
      <c r="A137" s="4" t="n">
        <v>134</v>
      </c>
      <c r="B137" s="6" t="inlineStr">
        <is>
          <t>Taikoo</t>
        </is>
      </c>
      <c r="C137" s="6" t="inlineStr">
        <is>
          <t>Golden Coffee Sugar Crystals</t>
        </is>
      </c>
      <c r="D137" s="4" t="n">
        <v>36</v>
      </c>
      <c r="E137" s="4" t="inlineStr">
        <is>
          <t>Groceries</t>
        </is>
      </c>
      <c r="F137" s="4" t="inlineStr">
        <is>
          <t>Seasonings</t>
        </is>
      </c>
      <c r="G137" s="4" t="inlineStr">
        <is>
          <t>380 G</t>
        </is>
      </c>
      <c r="H137" s="4" t="n"/>
      <c r="I137" s="4">
        <f>IF(H137="","",VALUE(LEFT(H137,FIND("/",H137)-1))/VALUE(MID(H137,FIND("/",H137)+1,99)))</f>
        <v/>
      </c>
      <c r="J137" s="4" t="n"/>
    </row>
    <row r="138">
      <c r="A138" s="4" t="n">
        <v>7048</v>
      </c>
    </row>
    <row r="139">
      <c r="A139" s="4" t="n">
        <v>135</v>
      </c>
      <c r="B139" s="6" t="inlineStr">
        <is>
          <t>NUPasta</t>
        </is>
      </c>
      <c r="C139" s="6" t="inlineStr">
        <is>
          <t>Instant Carbonara</t>
        </is>
      </c>
      <c r="D139" s="4" t="n">
        <v>13</v>
      </c>
      <c r="E139" s="4" t="inlineStr">
        <is>
          <t>Groceries</t>
        </is>
      </c>
      <c r="F139" s="4" t="inlineStr">
        <is>
          <t>Instant Noodles</t>
        </is>
      </c>
      <c r="G139" s="4" t="inlineStr">
        <is>
          <t>92 G</t>
        </is>
      </c>
      <c r="H139" s="4" t="inlineStr">
        <is>
          <t>26/3</t>
        </is>
      </c>
      <c r="I139" s="4">
        <f>IF(H139="","",VALUE(LEFT(H139,FIND("/",H139)-1))/VALUE(MID(H139,FIND("/",H139)+1,99)))</f>
        <v/>
      </c>
      <c r="J139" s="4" t="inlineStr">
        <is>
          <t>Buy 2 Get 1</t>
        </is>
      </c>
    </row>
    <row r="140">
      <c r="A140" s="4" t="n">
        <v>136</v>
      </c>
      <c r="B140" s="6" t="inlineStr">
        <is>
          <t>Prego</t>
        </is>
      </c>
      <c r="C140" s="6" t="inlineStr">
        <is>
          <t>Mushroom Carbonara Mac</t>
        </is>
      </c>
      <c r="D140" s="4" t="n">
        <v>16</v>
      </c>
      <c r="E140" s="4" t="inlineStr">
        <is>
          <t>Groceries</t>
        </is>
      </c>
      <c r="F140" s="4" t="inlineStr">
        <is>
          <t>Instant Noodles</t>
        </is>
      </c>
      <c r="G140" s="4" t="inlineStr">
        <is>
          <t>71 G</t>
        </is>
      </c>
      <c r="H140" s="4" t="inlineStr">
        <is>
          <t>24/2</t>
        </is>
      </c>
      <c r="I140" s="4">
        <f>IF(H140="","",VALUE(LEFT(H140,FIND("/",H140)-1))/VALUE(MID(H140,FIND("/",H140)+1,99)))</f>
        <v/>
      </c>
      <c r="J140" s="4" t="n"/>
    </row>
    <row r="141">
      <c r="A141" s="4" t="n">
        <v>137</v>
      </c>
      <c r="B141" s="6" t="inlineStr">
        <is>
          <t>Prego</t>
        </is>
      </c>
      <c r="C141" s="6" t="inlineStr">
        <is>
          <t>Mac n Cheese</t>
        </is>
      </c>
      <c r="D141" s="4" t="n">
        <v>16</v>
      </c>
      <c r="E141" s="4" t="inlineStr">
        <is>
          <t>Groceries</t>
        </is>
      </c>
      <c r="F141" s="4" t="inlineStr">
        <is>
          <t>Instant Noodles</t>
        </is>
      </c>
      <c r="G141" s="4" t="inlineStr">
        <is>
          <t>71 G</t>
        </is>
      </c>
      <c r="H141" s="4" t="inlineStr">
        <is>
          <t>24/2</t>
        </is>
      </c>
      <c r="I141" s="4">
        <f>IF(H141="","",VALUE(LEFT(H141,FIND("/",H141)-1))/VALUE(MID(H141,FIND("/",H141)+1,99)))</f>
        <v/>
      </c>
      <c r="J141" s="4" t="n"/>
    </row>
    <row r="142">
      <c r="A142" s="4" t="n">
        <v>138</v>
      </c>
      <c r="B142" s="6" t="inlineStr">
        <is>
          <t>Taimatsu Foods</t>
        </is>
      </c>
      <c r="C142" s="6" t="inlineStr">
        <is>
          <t>Japanese Red Bean Cooked Rice</t>
        </is>
      </c>
      <c r="D142" s="4" t="n">
        <v>14.9</v>
      </c>
      <c r="E142" s="4" t="inlineStr">
        <is>
          <t>Groceries</t>
        </is>
      </c>
      <c r="F142" s="4" t="inlineStr">
        <is>
          <t>Rice &amp; Noodles</t>
        </is>
      </c>
      <c r="G142" s="4" t="inlineStr">
        <is>
          <t>150 G</t>
        </is>
      </c>
      <c r="H142" s="4" t="n"/>
      <c r="I142" s="4">
        <f>IF(H142="","",VALUE(LEFT(H142,FIND("/",H142)-1))/VALUE(MID(H142,FIND("/",H142)+1,99)))</f>
        <v/>
      </c>
      <c r="J142" s="4" t="n"/>
    </row>
    <row r="143">
      <c r="A143" s="4" t="n">
        <v>139</v>
      </c>
      <c r="B143" s="6" t="inlineStr">
        <is>
          <t>Golden Elephant</t>
        </is>
      </c>
      <c r="C143" s="6" t="inlineStr">
        <is>
          <t>Cooked Japanese Rice</t>
        </is>
      </c>
      <c r="D143" s="4" t="n">
        <v>15</v>
      </c>
      <c r="E143" s="4" t="inlineStr">
        <is>
          <t>Groceries</t>
        </is>
      </c>
      <c r="F143" s="4" t="inlineStr">
        <is>
          <t>Rice &amp; Noodles</t>
        </is>
      </c>
      <c r="G143" s="4" t="inlineStr">
        <is>
          <t>170 G</t>
        </is>
      </c>
      <c r="H143" s="4" t="n"/>
      <c r="I143" s="4">
        <f>IF(H143="","",VALUE(LEFT(H143,FIND("/",H143)-1))/VALUE(MID(H143,FIND("/",H143)+1,99)))</f>
        <v/>
      </c>
      <c r="J143" s="4" t="n"/>
    </row>
    <row r="144">
      <c r="A144" s="4" t="n">
        <v>140</v>
      </c>
      <c r="B144" s="6" t="inlineStr">
        <is>
          <t>Golden Elephant</t>
        </is>
      </c>
      <c r="C144" s="6" t="inlineStr">
        <is>
          <t>Cooked Jasmine Rice</t>
        </is>
      </c>
      <c r="D144" s="4" t="n">
        <v>13</v>
      </c>
      <c r="E144" s="4" t="inlineStr">
        <is>
          <t>Groceries</t>
        </is>
      </c>
      <c r="F144" s="4" t="inlineStr">
        <is>
          <t>Rice &amp; Noodles</t>
        </is>
      </c>
      <c r="G144" s="4" t="inlineStr">
        <is>
          <t>170 G</t>
        </is>
      </c>
      <c r="H144" s="4" t="n"/>
      <c r="I144" s="4">
        <f>IF(H144="","",VALUE(LEFT(H144,FIND("/",H144)-1))/VALUE(MID(H144,FIND("/",H144)+1,99)))</f>
        <v/>
      </c>
      <c r="J144" s="4" t="n"/>
    </row>
    <row r="145">
      <c r="A145" s="4" t="n">
        <v>141</v>
      </c>
      <c r="B145" s="6" t="inlineStr">
        <is>
          <t>Ottogi</t>
        </is>
      </c>
      <c r="C145" s="6" t="inlineStr">
        <is>
          <t>Cheese Bokki</t>
        </is>
      </c>
      <c r="D145" s="4" t="n">
        <v>12</v>
      </c>
      <c r="E145" s="4" t="inlineStr">
        <is>
          <t>Groceries</t>
        </is>
      </c>
      <c r="F145" s="4" t="inlineStr">
        <is>
          <t>Instant Noodles</t>
        </is>
      </c>
      <c r="G145" s="4" t="inlineStr">
        <is>
          <t>55 G</t>
        </is>
      </c>
      <c r="H145" s="4" t="inlineStr">
        <is>
          <t>24/3</t>
        </is>
      </c>
      <c r="I145" s="4">
        <f>IF(H145="","",VALUE(LEFT(H145,FIND("/",H145)-1))/VALUE(MID(H145,FIND("/",H145)+1,99)))</f>
        <v/>
      </c>
      <c r="J145" s="4" t="inlineStr">
        <is>
          <t>Buy 2 get 1</t>
        </is>
      </c>
    </row>
    <row r="146">
      <c r="A146" s="4" t="n">
        <v>142</v>
      </c>
      <c r="B146" s="6" t="inlineStr">
        <is>
          <t>Samyang</t>
        </is>
      </c>
      <c r="C146" s="6" t="inlineStr">
        <is>
          <t>Buldak Carbonara Hot Chicken Flavor</t>
        </is>
      </c>
      <c r="D146" s="4" t="n">
        <v>16</v>
      </c>
      <c r="E146" s="4" t="inlineStr">
        <is>
          <t>Groceries</t>
        </is>
      </c>
      <c r="F146" s="4" t="inlineStr">
        <is>
          <t>Instant Noodles</t>
        </is>
      </c>
      <c r="G146" s="4" t="inlineStr">
        <is>
          <t>105 G</t>
        </is>
      </c>
      <c r="H146" s="4" t="inlineStr">
        <is>
          <t>25/2</t>
        </is>
      </c>
      <c r="I146" s="4">
        <f>IF(H146="","",VALUE(LEFT(H146,FIND("/",H146)-1))/VALUE(MID(H146,FIND("/",H146)+1,99)))</f>
        <v/>
      </c>
      <c r="J146" s="4" t="n"/>
    </row>
    <row r="147">
      <c r="A147" s="4" t="n">
        <v>143</v>
      </c>
      <c r="B147" s="6" t="inlineStr">
        <is>
          <t>Samyang</t>
        </is>
      </c>
      <c r="C147" s="6" t="inlineStr">
        <is>
          <t>Buldak Hot Chicken Flavor</t>
        </is>
      </c>
      <c r="D147" s="4" t="n">
        <v>16</v>
      </c>
      <c r="E147" s="4" t="inlineStr">
        <is>
          <t>Groceries</t>
        </is>
      </c>
      <c r="F147" s="4" t="inlineStr">
        <is>
          <t>Instant Noodles</t>
        </is>
      </c>
      <c r="G147" s="4" t="inlineStr">
        <is>
          <t>105 G</t>
        </is>
      </c>
      <c r="H147" s="4" t="inlineStr">
        <is>
          <t>25/2</t>
        </is>
      </c>
      <c r="I147" s="4">
        <f>IF(H147="","",VALUE(LEFT(H147,FIND("/",H147)-1))/VALUE(MID(H147,FIND("/",H147)+1,99)))</f>
        <v/>
      </c>
      <c r="J147" s="4" t="n"/>
    </row>
    <row r="148">
      <c r="A148" s="4" t="n">
        <v>144</v>
      </c>
      <c r="B148" s="6" t="inlineStr">
        <is>
          <t>Samyang</t>
        </is>
      </c>
      <c r="C148" s="6" t="inlineStr">
        <is>
          <t>Buldak Hot Chicken Flavor Ramen Cheese</t>
        </is>
      </c>
      <c r="D148" s="4" t="n">
        <v>16</v>
      </c>
      <c r="E148" s="4" t="inlineStr">
        <is>
          <t>Groceries</t>
        </is>
      </c>
      <c r="F148" s="4" t="inlineStr">
        <is>
          <t>Instant Noodles</t>
        </is>
      </c>
      <c r="G148" s="4" t="inlineStr">
        <is>
          <t>105 G</t>
        </is>
      </c>
      <c r="H148" s="4" t="inlineStr">
        <is>
          <t>25/2</t>
        </is>
      </c>
      <c r="I148" s="4">
        <f>IF(H148="","",VALUE(LEFT(H148,FIND("/",H148)-1))/VALUE(MID(H148,FIND("/",H148)+1,99)))</f>
        <v/>
      </c>
      <c r="J148" s="4" t="n"/>
    </row>
    <row r="149">
      <c r="A149" s="4" t="n">
        <v>7049</v>
      </c>
    </row>
    <row r="150">
      <c r="A150" s="4" t="n">
        <v>145</v>
      </c>
      <c r="B150" s="6" t="inlineStr">
        <is>
          <t>Nongshim</t>
        </is>
      </c>
      <c r="C150" s="6" t="inlineStr">
        <is>
          <t>Shin Ramyun Rose</t>
        </is>
      </c>
      <c r="D150" s="4" t="n">
        <v>14</v>
      </c>
      <c r="E150" s="4" t="inlineStr">
        <is>
          <t>Groceries</t>
        </is>
      </c>
      <c r="F150" s="4" t="inlineStr">
        <is>
          <t>Instant Noodles</t>
        </is>
      </c>
      <c r="G150" s="4" t="inlineStr">
        <is>
          <t>108 G</t>
        </is>
      </c>
      <c r="H150" s="4" t="inlineStr">
        <is>
          <t>24/2</t>
        </is>
      </c>
      <c r="I150" s="4">
        <f>IF(H150="","",VALUE(LEFT(H150,FIND("/",H150)-1))/VALUE(MID(H150,FIND("/",H150)+1,99)))</f>
        <v/>
      </c>
      <c r="J150" s="4" t="n"/>
    </row>
    <row r="151">
      <c r="A151" s="4" t="n">
        <v>146</v>
      </c>
      <c r="B151" s="6" t="inlineStr">
        <is>
          <t>Nongshim</t>
        </is>
      </c>
      <c r="C151" s="6" t="inlineStr">
        <is>
          <t>Korean Clay Pot Ramyun Bowl</t>
        </is>
      </c>
      <c r="D151" s="4" t="n">
        <v>12.5</v>
      </c>
      <c r="E151" s="4" t="inlineStr">
        <is>
          <t>Groceries</t>
        </is>
      </c>
      <c r="F151" s="4" t="inlineStr">
        <is>
          <t>Instant Noodles</t>
        </is>
      </c>
      <c r="G151" s="4" t="inlineStr">
        <is>
          <t>108 G</t>
        </is>
      </c>
      <c r="H151" s="4" t="inlineStr">
        <is>
          <t>25/3</t>
        </is>
      </c>
      <c r="I151" s="4">
        <f>IF(H151="","",VALUE(LEFT(H151,FIND("/",H151)-1))/VALUE(MID(H151,FIND("/",H151)+1,99)))</f>
        <v/>
      </c>
      <c r="J151" s="4" t="inlineStr">
        <is>
          <t>Buy 2 get 1</t>
        </is>
      </c>
    </row>
    <row r="152">
      <c r="A152" s="4" t="n">
        <v>147</v>
      </c>
      <c r="B152" s="6" t="inlineStr">
        <is>
          <t>Nongshim</t>
        </is>
      </c>
      <c r="C152" s="6" t="inlineStr">
        <is>
          <t xml:space="preserve">Shin Ramyun </t>
        </is>
      </c>
      <c r="D152" s="4" t="n">
        <v>12.5</v>
      </c>
      <c r="E152" s="4" t="inlineStr">
        <is>
          <t>Groceries</t>
        </is>
      </c>
      <c r="F152" s="4" t="inlineStr">
        <is>
          <t>Instant Noodles</t>
        </is>
      </c>
      <c r="G152" s="4" t="inlineStr">
        <is>
          <t>108 G</t>
        </is>
      </c>
      <c r="H152" s="4" t="inlineStr">
        <is>
          <t>25/3</t>
        </is>
      </c>
      <c r="I152" s="4">
        <f>IF(H152="","",VALUE(LEFT(H152,FIND("/",H152)-1))/VALUE(MID(H152,FIND("/",H152)+1,99)))</f>
        <v/>
      </c>
      <c r="J152" s="4" t="inlineStr">
        <is>
          <t>Buy 2 get 1</t>
        </is>
      </c>
    </row>
    <row r="153">
      <c r="A153" s="4" t="n">
        <v>148</v>
      </c>
      <c r="B153" s="6" t="inlineStr">
        <is>
          <t>GS25</t>
        </is>
      </c>
      <c r="C153" s="6" t="inlineStr">
        <is>
          <t>Omori Kimchi Stew Cup Ramen</t>
        </is>
      </c>
      <c r="D153" s="5" t="n">
        <v>16</v>
      </c>
      <c r="E153" s="4" t="inlineStr">
        <is>
          <t>Groceries</t>
        </is>
      </c>
      <c r="F153" s="4" t="inlineStr">
        <is>
          <t>Instant Noodles</t>
        </is>
      </c>
      <c r="G153" s="4" t="inlineStr">
        <is>
          <t>150 G</t>
        </is>
      </c>
      <c r="H153" s="4" t="n"/>
      <c r="I153" s="4">
        <f>IF(H153="","",VALUE(LEFT(H153,FIND("/",H153)-1))/VALUE(MID(H153,FIND("/",H153)+1,99)))</f>
        <v/>
      </c>
      <c r="J153" s="4" t="inlineStr">
        <is>
          <t>OP: 18</t>
        </is>
      </c>
    </row>
    <row r="154">
      <c r="A154" s="4" t="n">
        <v>149</v>
      </c>
      <c r="B154" s="6" t="inlineStr">
        <is>
          <t>Nongshim</t>
        </is>
      </c>
      <c r="C154" s="6" t="inlineStr">
        <is>
          <t>Saeng Saeng Bowl Udon</t>
        </is>
      </c>
      <c r="D154" s="4" t="n">
        <v>19</v>
      </c>
      <c r="E154" s="4" t="inlineStr">
        <is>
          <t>Groceries</t>
        </is>
      </c>
      <c r="F154" s="4" t="inlineStr">
        <is>
          <t>Instant Noodles</t>
        </is>
      </c>
      <c r="G154" s="4" t="inlineStr">
        <is>
          <t>276 G</t>
        </is>
      </c>
      <c r="H154" s="4" t="n"/>
      <c r="I154" s="4">
        <f>IF(H154="","",VALUE(LEFT(H154,FIND("/",H154)-1))/VALUE(MID(H154,FIND("/",H154)+1,99)))</f>
        <v/>
      </c>
      <c r="J154" s="4" t="n"/>
    </row>
    <row r="155">
      <c r="A155" s="4" t="n">
        <v>150</v>
      </c>
      <c r="B155" s="6" t="inlineStr">
        <is>
          <t>Dettol</t>
        </is>
      </c>
      <c r="C155" s="6" t="inlineStr">
        <is>
          <t xml:space="preserve">Antibacterial hand wash </t>
        </is>
      </c>
      <c r="D155" s="4" t="n">
        <v>37</v>
      </c>
      <c r="E155" s="4" t="inlineStr">
        <is>
          <t>Groceries</t>
        </is>
      </c>
      <c r="F155" s="4" t="inlineStr">
        <is>
          <t>Household</t>
        </is>
      </c>
      <c r="G155" s="4" t="inlineStr">
        <is>
          <t>500 G</t>
        </is>
      </c>
      <c r="H155" s="4" t="n"/>
      <c r="I155" s="4">
        <f>IF(H155="","",VALUE(LEFT(H155,FIND("/",H155)-1))/VALUE(MID(H155,FIND("/",H155)+1,99)))</f>
        <v/>
      </c>
      <c r="J155" s="4" t="n"/>
    </row>
    <row r="156">
      <c r="A156" s="4" t="n">
        <v>151</v>
      </c>
      <c r="B156" s="6" t="inlineStr">
        <is>
          <t>Ecostore</t>
        </is>
      </c>
      <c r="C156" s="6" t="inlineStr">
        <is>
          <t>Body Wash</t>
        </is>
      </c>
      <c r="D156" s="4" t="n">
        <v>140</v>
      </c>
      <c r="E156" s="4" t="inlineStr">
        <is>
          <t>Groceries</t>
        </is>
      </c>
      <c r="F156" s="4" t="inlineStr">
        <is>
          <t>Household</t>
        </is>
      </c>
      <c r="G156" s="4" t="inlineStr">
        <is>
          <t>900ML</t>
        </is>
      </c>
      <c r="H156" s="4" t="n"/>
      <c r="I156" s="4">
        <f>IF(H156="","",VALUE(LEFT(H156,FIND("/",H156)-1))/VALUE(MID(H156,FIND("/",H156)+1,99)))</f>
        <v/>
      </c>
      <c r="J156" s="4" t="n"/>
    </row>
    <row r="157">
      <c r="A157" s="4" t="n">
        <v>152</v>
      </c>
      <c r="B157" s="6" t="inlineStr">
        <is>
          <t xml:space="preserve">Del Monte </t>
        </is>
      </c>
      <c r="C157" s="7" t="inlineStr">
        <is>
          <t>Sardines in Tomato Sauce</t>
        </is>
      </c>
      <c r="D157" s="4" t="n"/>
      <c r="E157" s="4" t="inlineStr">
        <is>
          <t>Groceries</t>
        </is>
      </c>
      <c r="F157" s="4" t="n"/>
      <c r="G157" s="4" t="n"/>
      <c r="H157" s="4" t="n"/>
      <c r="I157" s="4">
        <f>IF(H157="","",VALUE(LEFT(H157,FIND("/",H157)-1))/VALUE(MID(H157,FIND("/",H157)+1,99)))</f>
        <v/>
      </c>
      <c r="J157" s="4" t="n"/>
    </row>
    <row r="158">
      <c r="A158" s="4" t="n">
        <v>153</v>
      </c>
      <c r="B158" s="6" t="n"/>
      <c r="C158" s="6" t="n"/>
      <c r="D158" s="4" t="n"/>
      <c r="E158" s="4" t="n"/>
      <c r="F158" s="4" t="n"/>
      <c r="G158" s="4" t="n"/>
      <c r="H158" s="4" t="n"/>
      <c r="I158" s="4">
        <f>IF(H158="","",VALUE(LEFT(H158,FIND("/",H158)-1))/VALUE(MID(H158,FIND("/",H158)+1,99)))</f>
        <v/>
      </c>
      <c r="J158" s="4" t="n"/>
    </row>
    <row r="159">
      <c r="A159" s="4" t="n">
        <v>154</v>
      </c>
      <c r="B159" s="6" t="n"/>
      <c r="C159" s="6" t="n"/>
      <c r="D159" s="4" t="n"/>
      <c r="E159" s="4" t="n"/>
      <c r="F159" s="4" t="n"/>
      <c r="G159" s="4" t="n"/>
      <c r="H159" s="4" t="n"/>
      <c r="I159" s="4">
        <f>IF(H159="","",VALUE(LEFT(H159,FIND("/",H159)-1))/VALUE(MID(H159,FIND("/",H159)+1,99)))</f>
        <v/>
      </c>
      <c r="J159" s="4" t="n"/>
    </row>
    <row r="160">
      <c r="A160" s="4" t="n">
        <v>155</v>
      </c>
      <c r="B160" s="6" t="n"/>
      <c r="C160" s="6" t="n"/>
      <c r="D160" s="4" t="n"/>
      <c r="E160" s="4" t="n"/>
      <c r="F160" s="4" t="n"/>
      <c r="G160" s="4" t="n"/>
      <c r="H160" s="4" t="n"/>
      <c r="I160" s="4">
        <f>IF(H160="","",VALUE(LEFT(H160,FIND("/",H160)-1))/VALUE(MID(H160,FIND("/",H160)+1,99)))</f>
        <v/>
      </c>
      <c r="J160" s="4" t="n"/>
    </row>
    <row r="161">
      <c r="A161" s="4" t="n">
        <v>156</v>
      </c>
      <c r="B161" s="6" t="n"/>
      <c r="C161" s="6" t="n"/>
      <c r="D161" s="4" t="n"/>
      <c r="E161" s="4" t="n"/>
      <c r="F161" s="4" t="n"/>
      <c r="G161" s="4" t="n"/>
      <c r="H161" s="4" t="n"/>
      <c r="I161" s="4">
        <f>IF(H161="","",VALUE(LEFT(H161,FIND("/",H161)-1))/VALUE(MID(H161,FIND("/",H161)+1,99)))</f>
        <v/>
      </c>
      <c r="J161" s="4" t="n"/>
    </row>
    <row r="162">
      <c r="A162" s="4" t="n">
        <v>157</v>
      </c>
      <c r="B162" s="6" t="n"/>
      <c r="C162" s="6" t="n"/>
      <c r="D162" s="4" t="n"/>
      <c r="E162" s="4" t="n"/>
      <c r="F162" s="4" t="n"/>
      <c r="G162" s="4" t="n"/>
      <c r="H162" s="4" t="n"/>
      <c r="I162" s="4">
        <f>IF(H162="","",VALUE(LEFT(H162,FIND("/",H162)-1))/VALUE(MID(H162,FIND("/",H162)+1,99)))</f>
        <v/>
      </c>
      <c r="J162" s="4" t="n"/>
    </row>
    <row r="163">
      <c r="A163" s="4" t="n">
        <v>158</v>
      </c>
      <c r="B163" s="6" t="n"/>
      <c r="C163" s="6" t="n"/>
      <c r="D163" s="4" t="n"/>
      <c r="E163" s="4" t="n"/>
      <c r="F163" s="4" t="n"/>
      <c r="G163" s="4" t="n"/>
      <c r="H163" s="4" t="n"/>
      <c r="I163" s="4">
        <f>IF(H163="","",VALUE(LEFT(H163,FIND("/",H163)-1))/VALUE(MID(H163,FIND("/",H163)+1,99)))</f>
        <v/>
      </c>
      <c r="J163" s="4" t="n"/>
    </row>
    <row r="164">
      <c r="A164" s="4" t="n">
        <v>159</v>
      </c>
      <c r="B164" s="6" t="n"/>
      <c r="C164" s="6" t="n"/>
      <c r="D164" s="4" t="n"/>
      <c r="E164" s="4" t="n"/>
      <c r="F164" s="4" t="n"/>
      <c r="G164" s="4" t="n"/>
      <c r="H164" s="4" t="n"/>
      <c r="I164" s="4">
        <f>IF(H164="","",VALUE(LEFT(H164,FIND("/",H164)-1))/VALUE(MID(H164,FIND("/",H164)+1,99)))</f>
        <v/>
      </c>
      <c r="J164" s="4" t="n"/>
    </row>
    <row r="165">
      <c r="A165" s="4" t="n">
        <v>160</v>
      </c>
      <c r="B165" s="6" t="n"/>
      <c r="C165" s="6" t="n"/>
      <c r="D165" s="4" t="n"/>
      <c r="E165" s="4" t="n"/>
      <c r="F165" s="4" t="n"/>
      <c r="G165" s="4" t="n"/>
      <c r="H165" s="4" t="n"/>
      <c r="I165" s="4">
        <f>IF(H165="","",VALUE(LEFT(H165,FIND("/",H165)-1))/VALUE(MID(H165,FIND("/",H165)+1,99)))</f>
        <v/>
      </c>
      <c r="J165" s="4" t="n"/>
    </row>
    <row r="166">
      <c r="A166" s="4" t="n">
        <v>161</v>
      </c>
      <c r="B166" s="6" t="n"/>
      <c r="C166" s="6" t="n"/>
      <c r="D166" s="4" t="n"/>
      <c r="E166" s="4" t="n"/>
      <c r="F166" s="4" t="n"/>
      <c r="G166" s="4" t="n"/>
      <c r="H166" s="4" t="n"/>
      <c r="I166" s="4">
        <f>IF(H166="","",VALUE(LEFT(H166,FIND("/",H166)-1))/VALUE(MID(H166,FIND("/",H166)+1,99)))</f>
        <v/>
      </c>
      <c r="J166" s="4" t="n"/>
    </row>
    <row r="167">
      <c r="A167" s="4" t="n">
        <v>162</v>
      </c>
      <c r="B167" s="6" t="n"/>
      <c r="C167" s="6" t="n"/>
      <c r="D167" s="4" t="n"/>
      <c r="E167" s="4" t="n"/>
      <c r="F167" s="4" t="n"/>
      <c r="G167" s="4" t="n"/>
      <c r="H167" s="4" t="n"/>
      <c r="I167" s="4">
        <f>IF(H167="","",VALUE(LEFT(H167,FIND("/",H167)-1))/VALUE(MID(H167,FIND("/",H167)+1,99)))</f>
        <v/>
      </c>
      <c r="J167" s="4" t="n"/>
    </row>
    <row r="168">
      <c r="A168" s="4" t="n">
        <v>163</v>
      </c>
      <c r="B168" s="6" t="n"/>
      <c r="C168" s="6" t="n"/>
      <c r="D168" s="4" t="n"/>
      <c r="E168" s="4" t="n"/>
      <c r="F168" s="4" t="n"/>
      <c r="G168" s="4" t="n"/>
      <c r="H168" s="4" t="n"/>
      <c r="I168" s="4">
        <f>IF(H168="","",VALUE(LEFT(H168,FIND("/",H168)-1))/VALUE(MID(H168,FIND("/",H168)+1,99)))</f>
        <v/>
      </c>
      <c r="J168" s="4" t="n"/>
    </row>
    <row r="169">
      <c r="A169" s="4" t="n">
        <v>164</v>
      </c>
      <c r="B169" s="6" t="n"/>
      <c r="C169" s="6" t="n"/>
      <c r="D169" s="4" t="n"/>
      <c r="E169" s="4" t="n"/>
      <c r="F169" s="4" t="n"/>
      <c r="G169" s="4" t="n"/>
      <c r="H169" s="4" t="n"/>
      <c r="I169" s="4">
        <f>IF(H169="","",VALUE(LEFT(H169,FIND("/",H169)-1))/VALUE(MID(H169,FIND("/",H169)+1,99)))</f>
        <v/>
      </c>
      <c r="J169" s="4" t="n"/>
    </row>
    <row r="170">
      <c r="A170" s="4" t="n">
        <v>165</v>
      </c>
      <c r="B170" s="6" t="n"/>
      <c r="C170" s="6" t="n"/>
      <c r="D170" s="4" t="n"/>
      <c r="E170" s="4" t="n"/>
      <c r="F170" s="4" t="n"/>
      <c r="G170" s="4" t="n"/>
      <c r="H170" s="4" t="n"/>
      <c r="I170" s="4">
        <f>IF(H170="","",VALUE(LEFT(H170,FIND("/",H170)-1))/VALUE(MID(H170,FIND("/",H170)+1,99)))</f>
        <v/>
      </c>
      <c r="J170" s="4" t="n"/>
    </row>
    <row r="171">
      <c r="A171" s="4" t="n">
        <v>166</v>
      </c>
      <c r="B171" s="6" t="n"/>
      <c r="C171" s="6" t="n"/>
      <c r="D171" s="4" t="n"/>
      <c r="E171" s="4" t="n"/>
      <c r="F171" s="4" t="n"/>
      <c r="G171" s="4" t="n"/>
      <c r="H171" s="4" t="n"/>
      <c r="I171" s="4">
        <f>IF(H171="","",VALUE(LEFT(H171,FIND("/",H171)-1))/VALUE(MID(H171,FIND("/",H171)+1,99)))</f>
        <v/>
      </c>
      <c r="J171" s="4" t="n"/>
    </row>
    <row r="172">
      <c r="A172" s="4" t="n">
        <v>167</v>
      </c>
      <c r="B172" s="6" t="n"/>
      <c r="C172" s="6" t="n"/>
      <c r="D172" s="4" t="n"/>
      <c r="E172" s="4" t="n"/>
      <c r="F172" s="4" t="n"/>
      <c r="G172" s="4" t="n"/>
      <c r="H172" s="4" t="n"/>
      <c r="I172" s="4">
        <f>IF(H172="","",VALUE(LEFT(H172,FIND("/",H172)-1))/VALUE(MID(H172,FIND("/",H172)+1,99)))</f>
        <v/>
      </c>
      <c r="J172" s="4" t="n"/>
    </row>
    <row r="173">
      <c r="A173" s="4" t="n">
        <v>168</v>
      </c>
      <c r="B173" s="6" t="n"/>
      <c r="C173" s="6" t="n"/>
      <c r="D173" s="4" t="n"/>
      <c r="E173" s="4" t="n"/>
      <c r="F173" s="4" t="n"/>
      <c r="G173" s="4" t="n"/>
      <c r="H173" s="4" t="n"/>
      <c r="I173" s="4">
        <f>IF(H173="","",VALUE(LEFT(H173,FIND("/",H173)-1))/VALUE(MID(H173,FIND("/",H173)+1,99)))</f>
        <v/>
      </c>
      <c r="J173" s="4" t="n"/>
    </row>
    <row r="174">
      <c r="A174" s="4" t="n">
        <v>169</v>
      </c>
      <c r="B174" s="6" t="n"/>
      <c r="C174" s="6" t="n"/>
      <c r="D174" s="4" t="n"/>
      <c r="E174" s="4" t="n"/>
      <c r="F174" s="4" t="n"/>
      <c r="G174" s="4" t="n"/>
      <c r="H174" s="4" t="n"/>
      <c r="I174" s="4">
        <f>IF(H174="","",VALUE(LEFT(H174,FIND("/",H174)-1))/VALUE(MID(H174,FIND("/",H174)+1,99)))</f>
        <v/>
      </c>
      <c r="J174" s="4" t="n"/>
    </row>
    <row r="175">
      <c r="A175" s="4" t="n">
        <v>170</v>
      </c>
      <c r="B175" s="6" t="n"/>
      <c r="C175" s="6" t="n"/>
      <c r="D175" s="4" t="n"/>
      <c r="E175" s="4" t="n"/>
      <c r="F175" s="4" t="n"/>
      <c r="G175" s="4" t="n"/>
      <c r="H175" s="4" t="n"/>
      <c r="I175" s="4">
        <f>IF(H175="","",VALUE(LEFT(H175,FIND("/",H175)-1))/VALUE(MID(H175,FIND("/",H175)+1,99)))</f>
        <v/>
      </c>
      <c r="J175" s="4" t="n"/>
    </row>
    <row r="176">
      <c r="A176" s="4" t="n">
        <v>171</v>
      </c>
      <c r="B176" s="6" t="n"/>
      <c r="C176" s="6" t="n"/>
      <c r="D176" s="4" t="n"/>
      <c r="E176" s="4" t="n"/>
      <c r="F176" s="4" t="n"/>
      <c r="G176" s="4" t="n"/>
      <c r="H176" s="4" t="n"/>
      <c r="I176" s="4">
        <f>IF(H176="","",VALUE(LEFT(H176,FIND("/",H176)-1))/VALUE(MID(H176,FIND("/",H176)+1,99)))</f>
        <v/>
      </c>
      <c r="J176" s="4" t="n"/>
    </row>
    <row r="177">
      <c r="A177" s="4" t="n">
        <v>172</v>
      </c>
      <c r="B177" s="6" t="n"/>
      <c r="C177" s="6" t="n"/>
      <c r="D177" s="4" t="n"/>
      <c r="E177" s="4" t="n"/>
      <c r="F177" s="4" t="n"/>
      <c r="G177" s="4" t="n"/>
      <c r="H177" s="4" t="n"/>
      <c r="I177" s="4">
        <f>IF(H177="","",VALUE(LEFT(H177,FIND("/",H177)-1))/VALUE(MID(H177,FIND("/",H177)+1,99)))</f>
        <v/>
      </c>
      <c r="J177" s="4" t="n"/>
    </row>
    <row r="178">
      <c r="A178" s="4" t="n">
        <v>173</v>
      </c>
      <c r="B178" s="6" t="n"/>
      <c r="C178" s="6" t="n"/>
      <c r="D178" s="4" t="n"/>
      <c r="E178" s="4" t="n"/>
      <c r="F178" s="4" t="n"/>
      <c r="G178" s="4" t="n"/>
      <c r="H178" s="4" t="n"/>
      <c r="I178" s="4">
        <f>IF(H178="","",VALUE(LEFT(H178,FIND("/",H178)-1))/VALUE(MID(H178,FIND("/",H178)+1,99)))</f>
        <v/>
      </c>
      <c r="J178" s="4" t="n"/>
    </row>
    <row r="179">
      <c r="A179" s="4" t="n">
        <v>174</v>
      </c>
      <c r="B179" s="6" t="n"/>
      <c r="C179" s="6" t="n"/>
      <c r="D179" s="4" t="n"/>
      <c r="E179" s="4" t="n"/>
      <c r="F179" s="4" t="n"/>
      <c r="G179" s="4" t="n"/>
      <c r="H179" s="4" t="n"/>
      <c r="I179" s="4">
        <f>IF(H179="","",VALUE(LEFT(H179,FIND("/",H179)-1))/VALUE(MID(H179,FIND("/",H179)+1,99)))</f>
        <v/>
      </c>
      <c r="J179" s="4" t="n"/>
    </row>
    <row r="180">
      <c r="A180" s="4" t="n">
        <v>175</v>
      </c>
      <c r="B180" s="6" t="n"/>
      <c r="C180" s="6" t="n"/>
      <c r="D180" s="4" t="n"/>
      <c r="E180" s="4" t="n"/>
      <c r="F180" s="4" t="n"/>
      <c r="G180" s="4" t="n"/>
      <c r="H180" s="4" t="n"/>
      <c r="I180" s="4">
        <f>IF(H180="","",VALUE(LEFT(H180,FIND("/",H180)-1))/VALUE(MID(H180,FIND("/",H180)+1,99)))</f>
        <v/>
      </c>
      <c r="J180" s="4" t="n"/>
    </row>
    <row r="181">
      <c r="A181" s="4" t="n">
        <v>176</v>
      </c>
      <c r="B181" s="6" t="n"/>
      <c r="C181" s="6" t="n"/>
      <c r="D181" s="4" t="n"/>
      <c r="E181" s="4" t="n"/>
      <c r="F181" s="4" t="n"/>
      <c r="G181" s="4" t="n"/>
      <c r="H181" s="4" t="n"/>
      <c r="I181" s="4">
        <f>IF(H181="","",VALUE(LEFT(H181,FIND("/",H181)-1))/VALUE(MID(H181,FIND("/",H181)+1,99)))</f>
        <v/>
      </c>
      <c r="J181" s="4" t="n"/>
    </row>
    <row r="182">
      <c r="A182" s="4" t="n">
        <v>177</v>
      </c>
      <c r="B182" s="6" t="n"/>
      <c r="C182" s="6" t="n"/>
      <c r="D182" s="4" t="n"/>
      <c r="E182" s="4" t="n"/>
      <c r="F182" s="4" t="n"/>
      <c r="G182" s="4" t="n"/>
      <c r="H182" s="4" t="n"/>
      <c r="I182" s="4">
        <f>IF(H182="","",VALUE(LEFT(H182,FIND("/",H182)-1))/VALUE(MID(H182,FIND("/",H182)+1,99)))</f>
        <v/>
      </c>
      <c r="J182" s="4" t="n"/>
    </row>
    <row r="183">
      <c r="A183" s="4" t="n">
        <v>178</v>
      </c>
      <c r="B183" s="6" t="n"/>
      <c r="C183" s="6" t="n"/>
      <c r="D183" s="4" t="n"/>
      <c r="E183" s="4" t="n"/>
      <c r="F183" s="4" t="n"/>
      <c r="G183" s="4" t="n"/>
      <c r="H183" s="4" t="n"/>
      <c r="I183" s="4">
        <f>IF(H183="","",VALUE(LEFT(H183,FIND("/",H183)-1))/VALUE(MID(H183,FIND("/",H183)+1,99)))</f>
        <v/>
      </c>
      <c r="J183" s="4" t="n"/>
    </row>
    <row r="184">
      <c r="A184" s="4" t="n">
        <v>179</v>
      </c>
      <c r="B184" s="6" t="n"/>
      <c r="C184" s="6" t="n"/>
      <c r="D184" s="4" t="n"/>
      <c r="E184" s="4" t="n"/>
      <c r="F184" s="4" t="n"/>
      <c r="G184" s="4" t="n"/>
      <c r="H184" s="4" t="n"/>
      <c r="I184" s="4">
        <f>IF(H184="","",VALUE(LEFT(H184,FIND("/",H184)-1))/VALUE(MID(H184,FIND("/",H184)+1,99)))</f>
        <v/>
      </c>
      <c r="J184" s="4" t="n"/>
    </row>
    <row r="185">
      <c r="A185" s="4" t="n">
        <v>180</v>
      </c>
      <c r="B185" s="6" t="n"/>
      <c r="C185" s="6" t="n"/>
      <c r="D185" s="4" t="n"/>
      <c r="E185" s="4" t="n"/>
      <c r="F185" s="4" t="n"/>
      <c r="G185" s="4" t="n"/>
      <c r="H185" s="4" t="n"/>
      <c r="I185" s="4">
        <f>IF(H185="","",VALUE(LEFT(H185,FIND("/",H185)-1))/VALUE(MID(H185,FIND("/",H185)+1,99)))</f>
        <v/>
      </c>
      <c r="J185" s="4" t="n"/>
    </row>
    <row r="186">
      <c r="A186" s="4" t="n">
        <v>181</v>
      </c>
      <c r="B186" s="6" t="n"/>
      <c r="C186" s="6" t="n"/>
      <c r="D186" s="4" t="n"/>
      <c r="E186" s="4" t="n"/>
      <c r="F186" s="4" t="n"/>
      <c r="G186" s="4" t="n"/>
      <c r="H186" s="4" t="n"/>
      <c r="I186" s="4">
        <f>IF(H186="","",VALUE(LEFT(H186,FIND("/",H186)-1))/VALUE(MID(H186,FIND("/",H186)+1,99)))</f>
        <v/>
      </c>
      <c r="J186" s="4" t="n"/>
    </row>
    <row r="187">
      <c r="A187" s="4" t="n">
        <v>182</v>
      </c>
      <c r="B187" s="6" t="n"/>
      <c r="C187" s="6" t="n"/>
      <c r="D187" s="4" t="n"/>
      <c r="E187" s="4" t="n"/>
      <c r="F187" s="4" t="n"/>
      <c r="G187" s="4" t="n"/>
      <c r="H187" s="4" t="n"/>
      <c r="I187" s="4">
        <f>IF(H187="","",VALUE(LEFT(H187,FIND("/",H187)-1))/VALUE(MID(H187,FIND("/",H187)+1,99)))</f>
        <v/>
      </c>
      <c r="J187" s="4" t="n"/>
    </row>
    <row r="188">
      <c r="A188" s="4" t="n">
        <v>183</v>
      </c>
      <c r="B188" s="6" t="n"/>
      <c r="C188" s="6" t="n"/>
      <c r="D188" s="4" t="n"/>
      <c r="E188" s="4" t="n"/>
      <c r="F188" s="4" t="n"/>
      <c r="G188" s="4" t="n"/>
      <c r="H188" s="4" t="n"/>
      <c r="I188" s="4">
        <f>IF(H188="","",VALUE(LEFT(H188,FIND("/",H188)-1))/VALUE(MID(H188,FIND("/",H188)+1,99)))</f>
        <v/>
      </c>
      <c r="J188" s="4" t="n"/>
    </row>
    <row r="189">
      <c r="A189" s="4" t="n">
        <v>184</v>
      </c>
      <c r="B189" s="6" t="n"/>
      <c r="C189" s="6" t="n"/>
      <c r="D189" s="4" t="n"/>
      <c r="E189" s="4" t="n"/>
      <c r="F189" s="4" t="n"/>
      <c r="G189" s="4" t="n"/>
      <c r="H189" s="4" t="n"/>
      <c r="I189" s="4">
        <f>IF(H189="","",VALUE(LEFT(H189,FIND("/",H189)-1))/VALUE(MID(H189,FIND("/",H189)+1,99)))</f>
        <v/>
      </c>
      <c r="J189" s="4" t="n"/>
    </row>
    <row r="190">
      <c r="A190" s="4" t="n">
        <v>185</v>
      </c>
      <c r="B190" s="6" t="n"/>
      <c r="C190" s="6" t="n"/>
      <c r="D190" s="4" t="n"/>
      <c r="E190" s="4" t="n"/>
      <c r="F190" s="4" t="n"/>
      <c r="G190" s="4" t="n"/>
      <c r="H190" s="4" t="n"/>
      <c r="I190" s="4">
        <f>IF(H190="","",VALUE(LEFT(H190,FIND("/",H190)-1))/VALUE(MID(H190,FIND("/",H190)+1,99)))</f>
        <v/>
      </c>
      <c r="J190" s="4" t="n"/>
    </row>
    <row r="191">
      <c r="A191" s="4" t="n">
        <v>186</v>
      </c>
      <c r="B191" s="6" t="n"/>
      <c r="C191" s="6" t="n"/>
      <c r="D191" s="4" t="n"/>
      <c r="E191" s="4" t="n"/>
      <c r="F191" s="4" t="n"/>
      <c r="G191" s="4" t="n"/>
      <c r="H191" s="4" t="n"/>
      <c r="I191" s="4">
        <f>IF(H191="","",VALUE(LEFT(H191,FIND("/",H191)-1))/VALUE(MID(H191,FIND("/",H191)+1,99)))</f>
        <v/>
      </c>
      <c r="J191" s="4" t="n"/>
    </row>
    <row r="192">
      <c r="A192" s="4" t="n">
        <v>187</v>
      </c>
      <c r="B192" s="6" t="n"/>
      <c r="C192" s="6" t="n"/>
      <c r="D192" s="4" t="n"/>
      <c r="E192" s="4" t="n"/>
      <c r="F192" s="4" t="n"/>
      <c r="G192" s="4" t="n"/>
      <c r="H192" s="4" t="n"/>
      <c r="I192" s="4">
        <f>IF(H192="","",VALUE(LEFT(H192,FIND("/",H192)-1))/VALUE(MID(H192,FIND("/",H192)+1,99)))</f>
        <v/>
      </c>
      <c r="J192" s="4" t="n"/>
    </row>
    <row r="193">
      <c r="A193" s="4" t="n">
        <v>188</v>
      </c>
      <c r="B193" s="6" t="n"/>
      <c r="C193" s="6" t="n"/>
      <c r="D193" s="4" t="n"/>
      <c r="E193" s="4" t="n"/>
      <c r="F193" s="4" t="n"/>
      <c r="G193" s="4" t="n"/>
      <c r="H193" s="4" t="n"/>
      <c r="I193" s="4">
        <f>IF(H193="","",VALUE(LEFT(H193,FIND("/",H193)-1))/VALUE(MID(H193,FIND("/",H193)+1,99)))</f>
        <v/>
      </c>
      <c r="J193" s="4" t="n"/>
    </row>
    <row r="194">
      <c r="A194" s="4" t="n">
        <v>189</v>
      </c>
      <c r="B194" s="6" t="n"/>
      <c r="C194" s="6" t="n"/>
      <c r="D194" s="4" t="n"/>
      <c r="E194" s="4" t="n"/>
      <c r="F194" s="4" t="n"/>
      <c r="G194" s="4" t="n"/>
      <c r="H194" s="4" t="n"/>
      <c r="I194" s="4">
        <f>IF(H194="","",VALUE(LEFT(H194,FIND("/",H194)-1))/VALUE(MID(H194,FIND("/",H194)+1,99)))</f>
        <v/>
      </c>
      <c r="J194" s="4" t="n"/>
    </row>
    <row r="195">
      <c r="A195" s="4" t="n">
        <v>190</v>
      </c>
      <c r="B195" s="6" t="n"/>
      <c r="C195" s="6" t="n"/>
      <c r="D195" s="4" t="n"/>
      <c r="E195" s="4" t="n"/>
      <c r="F195" s="4" t="n"/>
      <c r="G195" s="4" t="n"/>
      <c r="H195" s="4" t="n"/>
      <c r="I195" s="4">
        <f>IF(H195="","",VALUE(LEFT(H195,FIND("/",H195)-1))/VALUE(MID(H195,FIND("/",H195)+1,99)))</f>
        <v/>
      </c>
      <c r="J195" s="4" t="n"/>
    </row>
    <row r="196">
      <c r="A196" s="4" t="n">
        <v>191</v>
      </c>
      <c r="B196" s="6" t="n"/>
      <c r="C196" s="6" t="n"/>
      <c r="D196" s="4" t="n"/>
      <c r="E196" s="4" t="n"/>
      <c r="F196" s="4" t="n"/>
      <c r="G196" s="4" t="n"/>
      <c r="H196" s="4" t="n"/>
      <c r="I196" s="4">
        <f>IF(H196="","",VALUE(LEFT(H196,FIND("/",H196)-1))/VALUE(MID(H196,FIND("/",H196)+1,99)))</f>
        <v/>
      </c>
      <c r="J196" s="4" t="n"/>
    </row>
    <row r="197">
      <c r="A197" s="4" t="n">
        <v>192</v>
      </c>
      <c r="B197" s="6" t="n"/>
      <c r="C197" s="6" t="n"/>
      <c r="D197" s="4" t="n"/>
      <c r="E197" s="4" t="n"/>
      <c r="F197" s="4" t="n"/>
      <c r="G197" s="4" t="n"/>
      <c r="H197" s="4" t="n"/>
      <c r="I197" s="4">
        <f>IF(H197="","",VALUE(LEFT(H197,FIND("/",H197)-1))/VALUE(MID(H197,FIND("/",H197)+1,99)))</f>
        <v/>
      </c>
      <c r="J197" s="4" t="n"/>
    </row>
    <row r="198">
      <c r="A198" s="4" t="n">
        <v>193</v>
      </c>
      <c r="B198" s="6" t="n"/>
      <c r="C198" s="6" t="n"/>
      <c r="D198" s="4" t="n"/>
      <c r="E198" s="4" t="n"/>
      <c r="F198" s="4" t="n"/>
      <c r="G198" s="4" t="n"/>
      <c r="H198" s="4" t="n"/>
      <c r="I198" s="4">
        <f>IF(H198="","",VALUE(LEFT(H198,FIND("/",H198)-1))/VALUE(MID(H198,FIND("/",H198)+1,99)))</f>
        <v/>
      </c>
      <c r="J198" s="4" t="n"/>
    </row>
    <row r="199">
      <c r="A199" s="4" t="n">
        <v>194</v>
      </c>
      <c r="B199" s="6" t="n"/>
      <c r="C199" s="6" t="n"/>
      <c r="D199" s="4" t="n"/>
      <c r="E199" s="4" t="n"/>
      <c r="F199" s="4" t="n"/>
      <c r="G199" s="4" t="n"/>
      <c r="H199" s="4" t="n"/>
      <c r="I199" s="4">
        <f>IF(H199="","",VALUE(LEFT(H199,FIND("/",H199)-1))/VALUE(MID(H199,FIND("/",H199)+1,99)))</f>
        <v/>
      </c>
      <c r="J199" s="4" t="n"/>
    </row>
    <row r="200">
      <c r="A200" s="4" t="n">
        <v>195</v>
      </c>
      <c r="B200" s="6" t="n"/>
      <c r="C200" s="6" t="n"/>
      <c r="D200" s="4" t="n"/>
      <c r="E200" s="4" t="n"/>
      <c r="F200" s="4" t="n"/>
      <c r="G200" s="4" t="n"/>
      <c r="H200" s="4" t="n"/>
      <c r="I200" s="4">
        <f>IF(H200="","",VALUE(LEFT(H200,FIND("/",H200)-1))/VALUE(MID(H200,FIND("/",H200)+1,99)))</f>
        <v/>
      </c>
      <c r="J200" s="4" t="n"/>
    </row>
    <row r="201">
      <c r="A201" s="4" t="n">
        <v>196</v>
      </c>
      <c r="B201" s="6" t="n"/>
      <c r="C201" s="6" t="n"/>
      <c r="D201" s="4" t="n"/>
      <c r="E201" s="4" t="n"/>
      <c r="F201" s="4" t="n"/>
      <c r="G201" s="4" t="n"/>
      <c r="H201" s="4" t="n"/>
      <c r="I201" s="4">
        <f>IF(H201="","",VALUE(LEFT(H201,FIND("/",H201)-1))/VALUE(MID(H201,FIND("/",H201)+1,99)))</f>
        <v/>
      </c>
      <c r="J201" s="4" t="n"/>
    </row>
    <row r="202">
      <c r="A202" s="4" t="n">
        <v>197</v>
      </c>
      <c r="B202" s="6" t="n"/>
      <c r="C202" s="6" t="n"/>
      <c r="D202" s="4" t="n"/>
      <c r="E202" s="4" t="n"/>
      <c r="F202" s="4" t="n"/>
      <c r="G202" s="4" t="n"/>
      <c r="H202" s="4" t="n"/>
      <c r="I202" s="4">
        <f>IF(H202="","",VALUE(LEFT(H202,FIND("/",H202)-1))/VALUE(MID(H202,FIND("/",H202)+1,99)))</f>
        <v/>
      </c>
      <c r="J202" s="4" t="n"/>
    </row>
    <row r="203">
      <c r="A203" s="4" t="n">
        <v>198</v>
      </c>
      <c r="B203" s="6" t="n"/>
      <c r="C203" s="6" t="n"/>
      <c r="D203" s="4" t="n"/>
      <c r="E203" s="4" t="n"/>
      <c r="F203" s="4" t="n"/>
      <c r="G203" s="4" t="n"/>
      <c r="H203" s="4" t="n"/>
      <c r="I203" s="4">
        <f>IF(H203="","",VALUE(LEFT(H203,FIND("/",H203)-1))/VALUE(MID(H203,FIND("/",H203)+1,99)))</f>
        <v/>
      </c>
      <c r="J203" s="4" t="n"/>
    </row>
    <row r="204">
      <c r="A204" s="4" t="n">
        <v>199</v>
      </c>
      <c r="B204" s="6" t="n"/>
      <c r="C204" s="6" t="n"/>
      <c r="D204" s="4" t="n"/>
      <c r="E204" s="4" t="n"/>
      <c r="F204" s="4" t="n"/>
      <c r="G204" s="4" t="n"/>
      <c r="H204" s="4" t="n"/>
      <c r="I204" s="4">
        <f>IF(H204="","",VALUE(LEFT(H204,FIND("/",H204)-1))/VALUE(MID(H204,FIND("/",H204)+1,99)))</f>
        <v/>
      </c>
      <c r="J204" s="4" t="n"/>
    </row>
    <row r="205">
      <c r="A205" s="4" t="n">
        <v>200</v>
      </c>
      <c r="B205" s="6" t="n"/>
      <c r="C205" s="6" t="n"/>
      <c r="D205" s="4" t="n"/>
      <c r="E205" s="4" t="n"/>
      <c r="F205" s="4" t="n"/>
      <c r="G205" s="4" t="n"/>
      <c r="H205" s="4" t="n"/>
      <c r="I205" s="4">
        <f>IF(H205="","",VALUE(LEFT(H205,FIND("/",H205)-1))/VALUE(MID(H205,FIND("/",H205)+1,99)))</f>
        <v/>
      </c>
      <c r="J205" s="4" t="n"/>
    </row>
    <row r="206">
      <c r="A206" s="4" t="n">
        <v>201</v>
      </c>
      <c r="B206" s="6" t="inlineStr">
        <is>
          <t>Knorr</t>
        </is>
      </c>
      <c r="C206" s="6" t="inlineStr">
        <is>
          <t>Knorr Q/S Macaroni Chicken Broth</t>
        </is>
      </c>
      <c r="D206" s="4" t="n">
        <v>27.9</v>
      </c>
      <c r="E206" s="4" t="inlineStr">
        <is>
          <t>Groceries</t>
        </is>
      </c>
      <c r="F206" s="4" t="inlineStr">
        <is>
          <t>Instant Noodles</t>
        </is>
      </c>
      <c r="G206" s="4" t="inlineStr">
        <is>
          <t>5PCS</t>
        </is>
      </c>
      <c r="H206" s="4" t="n"/>
      <c r="I206" s="4">
        <f>IF(H206="","",VALUE(LEFT(H206,FIND("/",H206)-1))/VALUE(MID(H206,FIND("/",H206)+1,99)))</f>
        <v/>
      </c>
      <c r="J206" s="4" t="n"/>
      <c r="K206" s="0" t="inlineStr">
        <is>
          <t>https://www.pns.hk/en/knorr/c/knorrfb</t>
        </is>
      </c>
      <c r="L206" s="0" t="inlineStr">
        <is>
          <t>IMG_7053.HEIC</t>
        </is>
      </c>
    </row>
    <row r="207">
      <c r="A207" s="4" t="n">
        <v>202</v>
      </c>
      <c r="B207" s="6" t="inlineStr">
        <is>
          <t>Knorr</t>
        </is>
      </c>
      <c r="C207" s="6" t="inlineStr">
        <is>
          <t>Knorr Q/S Macaroni Abalone &amp; Chix</t>
        </is>
      </c>
      <c r="D207" s="4" t="n">
        <v>27.9</v>
      </c>
      <c r="E207" s="4" t="inlineStr">
        <is>
          <t>Groceries</t>
        </is>
      </c>
      <c r="F207" s="4" t="inlineStr">
        <is>
          <t>Instant Noodles</t>
        </is>
      </c>
      <c r="G207" s="4" t="inlineStr">
        <is>
          <t>5PCS</t>
        </is>
      </c>
      <c r="H207" s="4" t="n"/>
      <c r="I207" s="4">
        <f>IF(H207="","",VALUE(LEFT(H207,FIND("/",H207)-1))/VALUE(MID(H207,FIND("/",H207)+1,99)))</f>
        <v/>
      </c>
      <c r="J207" s="4" t="n"/>
      <c r="K207" s="0" t="inlineStr">
        <is>
          <t>https://www.pns.hk/en/knorr/c/knorrfb</t>
        </is>
      </c>
      <c r="L207" s="0" t="inlineStr">
        <is>
          <t>IMG_7053.HEIC</t>
        </is>
      </c>
    </row>
    <row r="208">
      <c r="A208" s="4" t="n">
        <v>203</v>
      </c>
      <c r="B208" s="6" t="inlineStr">
        <is>
          <t>Knorr</t>
        </is>
      </c>
      <c r="C208" s="6" t="inlineStr">
        <is>
          <t>Knorr Q/S Macaroni Chicken Broth</t>
        </is>
      </c>
      <c r="D208" s="4" t="n">
        <v>9.5</v>
      </c>
      <c r="E208" s="4" t="inlineStr">
        <is>
          <t>Groceries</t>
        </is>
      </c>
      <c r="F208" s="4" t="inlineStr">
        <is>
          <t>Instant Noodles</t>
        </is>
      </c>
      <c r="G208" s="4" t="inlineStr">
        <is>
          <t>80G</t>
        </is>
      </c>
      <c r="H208" s="4" t="inlineStr">
        <is>
          <t>19/3</t>
        </is>
      </c>
      <c r="I208" s="4">
        <f>IF(H208="","",VALUE(LEFT(H208,FIND("/",H208)-1))/VALUE(MID(H208,FIND("/",H208)+1,99)))</f>
        <v/>
      </c>
      <c r="J208" s="4" t="inlineStr">
        <is>
          <t>Buy 2 Get 1</t>
        </is>
      </c>
      <c r="K208" s="0" t="inlineStr">
        <is>
          <t>https://www.pns.hk/en/knorr/c/knorrfb</t>
        </is>
      </c>
      <c r="L208" s="0" t="inlineStr">
        <is>
          <t>IMG_7053.HEIC</t>
        </is>
      </c>
    </row>
    <row r="209">
      <c r="A209" s="4" t="n">
        <v>204</v>
      </c>
      <c r="B209" s="6" t="inlineStr">
        <is>
          <t>Knorr</t>
        </is>
      </c>
      <c r="C209" s="6" t="inlineStr">
        <is>
          <t>Knorr Q/S Macaroni Abalone &amp; Chix</t>
        </is>
      </c>
      <c r="D209" s="4" t="n">
        <v>9.5</v>
      </c>
      <c r="E209" s="4" t="inlineStr">
        <is>
          <t>Groceries</t>
        </is>
      </c>
      <c r="F209" s="4" t="inlineStr">
        <is>
          <t>Instant Noodles</t>
        </is>
      </c>
      <c r="G209" s="4" t="inlineStr">
        <is>
          <t>80G</t>
        </is>
      </c>
      <c r="H209" s="4" t="inlineStr">
        <is>
          <t>19/3</t>
        </is>
      </c>
      <c r="I209" s="4">
        <f>IF(H209="","",VALUE(LEFT(H209,FIND("/",H209)-1))/VALUE(MID(H209,FIND("/",H209)+1,99)))</f>
        <v/>
      </c>
      <c r="J209" s="4" t="inlineStr">
        <is>
          <t>Buy 2 Get 1</t>
        </is>
      </c>
      <c r="K209" s="0" t="inlineStr">
        <is>
          <t>https://www.pns.hk/en/knorr/c/knorrfb</t>
        </is>
      </c>
      <c r="L209" s="0" t="inlineStr">
        <is>
          <t>IMG_7053.HEIC</t>
        </is>
      </c>
    </row>
    <row r="210">
      <c r="A210" s="4" t="n">
        <v>205</v>
      </c>
      <c r="B210" s="6" t="inlineStr">
        <is>
          <t>Knorr</t>
        </is>
      </c>
      <c r="C210" s="6" t="inlineStr">
        <is>
          <t>Knorr Q/S Macaroni Pork Bone Broth</t>
        </is>
      </c>
      <c r="D210" s="4" t="n">
        <v>9.5</v>
      </c>
      <c r="E210" s="4" t="inlineStr">
        <is>
          <t>Groceries</t>
        </is>
      </c>
      <c r="F210" s="4" t="inlineStr">
        <is>
          <t>Instant Noodles</t>
        </is>
      </c>
      <c r="G210" s="4" t="inlineStr">
        <is>
          <t>80G</t>
        </is>
      </c>
      <c r="H210" s="4" t="inlineStr">
        <is>
          <t>19/3</t>
        </is>
      </c>
      <c r="I210" s="4">
        <f>IF(H210="","",VALUE(LEFT(H210,FIND("/",H210)-1))/VALUE(MID(H210,FIND("/",H210)+1,99)))</f>
        <v/>
      </c>
      <c r="J210" s="4" t="inlineStr">
        <is>
          <t>Buy 2 Get 1</t>
        </is>
      </c>
      <c r="K210" s="0" t="inlineStr">
        <is>
          <t>https://www.pns.hk/en/knorr/c/knorrfb</t>
        </is>
      </c>
      <c r="L210" s="0" t="inlineStr">
        <is>
          <t>IMG_7053.HEIC</t>
        </is>
      </c>
    </row>
    <row r="211">
      <c r="A211" s="4" t="n">
        <v>206</v>
      </c>
      <c r="B211" s="6" t="inlineStr">
        <is>
          <t>Unknown</t>
        </is>
      </c>
      <c r="C211" s="6" t="inlineStr">
        <is>
          <t>Unknown product (backwards; second-row far left)</t>
        </is>
      </c>
      <c r="D211" s="4" t="n">
        <v>7.5</v>
      </c>
      <c r="E211" s="4" t="inlineStr">
        <is>
          <t>Groceries</t>
        </is>
      </c>
      <c r="F211" s="4" t="inlineStr">
        <is>
          <t>Instant Noodles</t>
        </is>
      </c>
      <c r="G211" s="4" t="inlineStr">
        <is>
          <t>Unknown</t>
        </is>
      </c>
      <c r="H211" s="4" t="n"/>
      <c r="I211" s="4">
        <f>IF(H211="","",VALUE(LEFT(H211,FIND("/",H211)-1))/VALUE(MID(H211,FIND("/",H211)+1,99)))</f>
        <v/>
      </c>
      <c r="J211" s="4" t="inlineStr">
        <is>
          <t>Discounted; OP = 10.5; product identity unclear</t>
        </is>
      </c>
      <c r="K211" s="0" t="str"/>
      <c r="L211" s="0" t="inlineStr">
        <is>
          <t>IMG_7053.HEIC</t>
        </is>
      </c>
    </row>
    <row r="212">
      <c r="A212" s="4" t="n">
        <v>207</v>
      </c>
      <c r="B212" s="6" t="inlineStr">
        <is>
          <t>Nong Shim</t>
        </is>
      </c>
      <c r="C212" s="6" t="inlineStr">
        <is>
          <t>Nong Shim Shin Ramyun</t>
        </is>
      </c>
      <c r="D212" s="4" t="n">
        <v>20</v>
      </c>
      <c r="E212" s="4" t="inlineStr">
        <is>
          <t>Groceries</t>
        </is>
      </c>
      <c r="F212" s="4" t="inlineStr">
        <is>
          <t>Instant Noodles</t>
        </is>
      </c>
      <c r="G212" s="4" t="inlineStr">
        <is>
          <t>120G x 4</t>
        </is>
      </c>
      <c r="H212" s="4" t="inlineStr">
        <is>
          <t>32/2</t>
        </is>
      </c>
      <c r="I212" s="4">
        <f>IF(H212="","",VALUE(LEFT(H212,FIND("/",H212)-1))/VALUE(MID(H212,FIND("/",H212)+1,99)))</f>
        <v/>
      </c>
      <c r="J212" s="4" t="n"/>
      <c r="K212" s="0" t="inlineStr">
        <is>
          <t>https://www.pns.hk/en/nong-shim-noodle-products/c/nongshimnoodle</t>
        </is>
      </c>
      <c r="L212" s="0" t="inlineStr">
        <is>
          <t>IMG_7053.HEIC</t>
        </is>
      </c>
    </row>
    <row r="213">
      <c r="A213" s="4" t="n">
        <v>208</v>
      </c>
      <c r="B213" s="6" t="inlineStr">
        <is>
          <t>Prima Taste</t>
        </is>
      </c>
      <c r="C213" s="6" t="inlineStr">
        <is>
          <t>Prima Taste Laksa LaMian</t>
        </is>
      </c>
      <c r="D213" s="4" t="n">
        <v>30</v>
      </c>
      <c r="E213" s="4" t="inlineStr">
        <is>
          <t>Groceries</t>
        </is>
      </c>
      <c r="F213" s="4" t="inlineStr">
        <is>
          <t>Instant Noodles</t>
        </is>
      </c>
      <c r="G213" s="4" t="inlineStr">
        <is>
          <t>144G</t>
        </is>
      </c>
      <c r="H213" s="4" t="inlineStr">
        <is>
          <t>54/2</t>
        </is>
      </c>
      <c r="I213" s="4">
        <f>IF(H213="","",VALUE(LEFT(H213,FIND("/",H213)-1))/VALUE(MID(H213,FIND("/",H213)+1,99)))</f>
        <v/>
      </c>
      <c r="J213" s="4" t="n"/>
      <c r="K213" s="0" t="inlineStr">
        <is>
          <t>https://www.pns.hk/en/laksa-la-mian/p/BP_358689</t>
        </is>
      </c>
      <c r="L213" s="0" t="inlineStr">
        <is>
          <t>IMG_7053.HEIC</t>
        </is>
      </c>
    </row>
    <row r="214">
      <c r="A214" s="4" t="n">
        <v>209</v>
      </c>
      <c r="B214" s="6" t="inlineStr">
        <is>
          <t>Nissin</t>
        </is>
      </c>
      <c r="C214" s="6" t="inlineStr">
        <is>
          <t>Nissin Demae Iccho 5-Pack Sesame Oil Flavour</t>
        </is>
      </c>
      <c r="D214" s="4" t="n">
        <v>28.5</v>
      </c>
      <c r="E214" s="4" t="inlineStr">
        <is>
          <t>Groceries</t>
        </is>
      </c>
      <c r="F214" s="4" t="inlineStr">
        <is>
          <t>Instant Noodles</t>
        </is>
      </c>
      <c r="G214" s="4" t="inlineStr">
        <is>
          <t>91G x 5</t>
        </is>
      </c>
      <c r="H214" s="4" t="n"/>
      <c r="I214" s="4">
        <f>IF(H214="","",VALUE(LEFT(H214,FIND("/",H214)-1))/VALUE(MID(H214,FIND("/",H214)+1,99)))</f>
        <v/>
      </c>
      <c r="J214" s="4" t="n"/>
      <c r="K214" s="0" t="inlineStr">
        <is>
          <t>https://www.nissinfoods.com.hk/eng/products/demae-iccho/5pack-sesame-oil-flavour-450ml</t>
        </is>
      </c>
      <c r="L214" s="0" t="inlineStr">
        <is>
          <t>IMG_7053.HEIC</t>
        </is>
      </c>
    </row>
    <row r="215">
      <c r="A215" s="4" t="n">
        <v>210</v>
      </c>
      <c r="B215" s="6" t="inlineStr">
        <is>
          <t>Fuku</t>
        </is>
      </c>
      <c r="C215" s="6" t="inlineStr">
        <is>
          <t>Fuku Thai Style Tom Yum Goong Flavour Instant Rice Vermicelli</t>
        </is>
      </c>
      <c r="D215" s="4" t="n">
        <v>18</v>
      </c>
      <c r="E215" s="4" t="inlineStr">
        <is>
          <t>Groceries</t>
        </is>
      </c>
      <c r="F215" s="4" t="inlineStr">
        <is>
          <t>Instant Noodles</t>
        </is>
      </c>
      <c r="G215" s="4" t="inlineStr">
        <is>
          <t>60G x 5</t>
        </is>
      </c>
      <c r="H215" s="4" t="inlineStr">
        <is>
          <t>30/2</t>
        </is>
      </c>
      <c r="I215" s="4">
        <f>IF(H215="","",VALUE(LEFT(H215,FIND("/",H215)-1))/VALUE(MID(H215,FIND("/",H215)+1,99)))</f>
        <v/>
      </c>
      <c r="J215" s="4" t="n"/>
      <c r="K215" s="0" t="inlineStr">
        <is>
          <t>https://www.nissinfoods.com.hk/eng/products/fuku/thai-style-tom-yum-goong-flavour-instant-rice-vermicelli-5-packs</t>
        </is>
      </c>
      <c r="L215" s="0" t="inlineStr">
        <is>
          <t>IMG_7053.HEIC</t>
        </is>
      </c>
    </row>
    <row r="216">
      <c r="A216" s="4" t="n">
        <v>211</v>
      </c>
      <c r="B216" s="6" t="inlineStr">
        <is>
          <t>Fuku</t>
        </is>
      </c>
      <c r="C216" s="6" t="inlineStr">
        <is>
          <t>Fuku Superior Soup Instant Noodle</t>
        </is>
      </c>
      <c r="D216" s="4" t="n">
        <v>18</v>
      </c>
      <c r="E216" s="4" t="inlineStr">
        <is>
          <t>Groceries</t>
        </is>
      </c>
      <c r="F216" s="4" t="inlineStr">
        <is>
          <t>Instant Noodles</t>
        </is>
      </c>
      <c r="G216" s="4" t="inlineStr">
        <is>
          <t>90G x 5</t>
        </is>
      </c>
      <c r="H216" s="4" t="inlineStr">
        <is>
          <t>30/2</t>
        </is>
      </c>
      <c r="I216" s="4">
        <f>IF(H216="","",VALUE(LEFT(H216,FIND("/",H216)-1))/VALUE(MID(H216,FIND("/",H216)+1,99)))</f>
        <v/>
      </c>
      <c r="J216" s="4" t="n"/>
      <c r="K216" s="0" t="inlineStr">
        <is>
          <t>https://www.pns.hk/en/all-brands/b/106579/fuku</t>
        </is>
      </c>
      <c r="L216" s="0" t="inlineStr">
        <is>
          <t>IMG_7053.HEIC</t>
        </is>
      </c>
    </row>
    <row r="217">
      <c r="A217" s="4" t="n">
        <v>212</v>
      </c>
      <c r="B217" s="6" t="inlineStr">
        <is>
          <t>Fuku</t>
        </is>
      </c>
      <c r="C217" s="6" t="inlineStr">
        <is>
          <t>Fuku Superior Soup Instant Rice Noodle</t>
        </is>
      </c>
      <c r="D217" s="4" t="n">
        <v>18</v>
      </c>
      <c r="E217" s="4" t="inlineStr">
        <is>
          <t>Groceries</t>
        </is>
      </c>
      <c r="F217" s="4" t="inlineStr">
        <is>
          <t>Instant Noodles</t>
        </is>
      </c>
      <c r="G217" s="4" t="inlineStr">
        <is>
          <t>65G x 5</t>
        </is>
      </c>
      <c r="H217" s="4" t="inlineStr">
        <is>
          <t>30/2</t>
        </is>
      </c>
      <c r="I217" s="4">
        <f>IF(H217="","",VALUE(LEFT(H217,FIND("/",H217)-1))/VALUE(MID(H217,FIND("/",H217)+1,99)))</f>
        <v/>
      </c>
      <c r="J217" s="4" t="n"/>
      <c r="K217" s="0" t="inlineStr">
        <is>
          <t>https://www.pns.hk/en/all-brands/b/106579/fuku</t>
        </is>
      </c>
      <c r="L217" s="0" t="inlineStr">
        <is>
          <t>IMG_7053.HEIC</t>
        </is>
      </c>
    </row>
    <row r="218">
      <c r="A218" s="4" t="n">
        <v>213</v>
      </c>
      <c r="B218" s="6" t="inlineStr">
        <is>
          <t>Chewy</t>
        </is>
      </c>
      <c r="C218" s="6" t="inlineStr">
        <is>
          <t>Chewy Instant Rice Vermicelli Gold Medal Original</t>
        </is>
      </c>
      <c r="D218" s="4" t="n">
        <v>23</v>
      </c>
      <c r="E218" s="4" t="inlineStr">
        <is>
          <t>Groceries</t>
        </is>
      </c>
      <c r="F218" s="4" t="inlineStr">
        <is>
          <t>Instant Noodles</t>
        </is>
      </c>
      <c r="G218" s="4" t="inlineStr">
        <is>
          <t>65G x 5</t>
        </is>
      </c>
      <c r="H218" s="4" t="inlineStr">
        <is>
          <t>38/2</t>
        </is>
      </c>
      <c r="I218" s="4">
        <f>IF(H218="","",VALUE(LEFT(H218,FIND("/",H218)-1))/VALUE(MID(H218,FIND("/",H218)+1,99)))</f>
        <v/>
      </c>
      <c r="J218" s="4" t="n"/>
      <c r="K218" s="0" t="inlineStr">
        <is>
          <t>https://www.chewy.com.hk/zh-hant/products/?category=3</t>
        </is>
      </c>
      <c r="L218" s="0" t="inlineStr">
        <is>
          <t>IMG_7053.HEIC</t>
        </is>
      </c>
    </row>
    <row r="219">
      <c r="A219" s="4" t="n">
        <v>214</v>
      </c>
      <c r="B219" s="6" t="inlineStr">
        <is>
          <t>Nong Shim</t>
        </is>
      </c>
      <c r="C219" s="6" t="inlineStr">
        <is>
          <t>Nong Shim Shin Ramyun 5-Pack</t>
        </is>
      </c>
      <c r="D219" s="4" t="n">
        <v>26.6</v>
      </c>
      <c r="E219" s="4" t="inlineStr">
        <is>
          <t>Groceries</t>
        </is>
      </c>
      <c r="F219" s="4" t="inlineStr">
        <is>
          <t>Instant Noodles</t>
        </is>
      </c>
      <c r="G219" s="4" t="inlineStr">
        <is>
          <t>5'S</t>
        </is>
      </c>
      <c r="H219" s="4" t="inlineStr">
        <is>
          <t>39.9/2</t>
        </is>
      </c>
      <c r="I219" s="4">
        <f>IF(H219="","",VALUE(LEFT(H219,FIND("/",H219)-1))/VALUE(MID(H219,FIND("/",H219)+1,99)))</f>
        <v/>
      </c>
      <c r="J219" s="4" t="n"/>
      <c r="K219" s="0" t="inlineStr">
        <is>
          <t>https://www.pns.hk/en/nong-shim-noodle-products/c/nongshimnoodle</t>
        </is>
      </c>
      <c r="L219" s="0" t="inlineStr">
        <is>
          <t>IMG_7054.HEIC</t>
        </is>
      </c>
    </row>
    <row r="220">
      <c r="A220" s="4" t="n">
        <v>215</v>
      </c>
      <c r="B220" s="6" t="inlineStr">
        <is>
          <t>Nong Shim</t>
        </is>
      </c>
      <c r="C220" s="6" t="inlineStr">
        <is>
          <t>Nong Shim Korean Clay Pot Ramyun</t>
        </is>
      </c>
      <c r="D220" s="4" t="n">
        <v>26.6</v>
      </c>
      <c r="E220" s="4" t="inlineStr">
        <is>
          <t>Groceries</t>
        </is>
      </c>
      <c r="F220" s="4" t="inlineStr">
        <is>
          <t>Instant Noodles</t>
        </is>
      </c>
      <c r="G220" s="4" t="inlineStr">
        <is>
          <t>5'S</t>
        </is>
      </c>
      <c r="H220" s="4" t="inlineStr">
        <is>
          <t>39.9/2</t>
        </is>
      </c>
      <c r="I220" s="4">
        <f>IF(H220="","",VALUE(LEFT(H220,FIND("/",H220)-1))/VALUE(MID(H220,FIND("/",H220)+1,99)))</f>
        <v/>
      </c>
      <c r="J220" s="4" t="n"/>
      <c r="K220" s="0" t="inlineStr">
        <is>
          <t>https://www.pns.hk/en/nong-shim-noodle-products/c/nongshimnoodle</t>
        </is>
      </c>
      <c r="L220" s="0" t="inlineStr">
        <is>
          <t>IMG_7054.HEIC</t>
        </is>
      </c>
    </row>
    <row r="221">
      <c r="A221" s="4" t="n">
        <v>216</v>
      </c>
      <c r="B221" s="6" t="inlineStr">
        <is>
          <t>Nong Shim</t>
        </is>
      </c>
      <c r="C221" s="6" t="inlineStr">
        <is>
          <t>Nong Shim Potato Noodle</t>
        </is>
      </c>
      <c r="D221" s="4" t="n">
        <v>27.9</v>
      </c>
      <c r="E221" s="4" t="inlineStr">
        <is>
          <t>Groceries</t>
        </is>
      </c>
      <c r="F221" s="4" t="inlineStr">
        <is>
          <t>Instant Noodles</t>
        </is>
      </c>
      <c r="G221" s="4" t="inlineStr">
        <is>
          <t>100G x 4</t>
        </is>
      </c>
      <c r="H221" s="4" t="inlineStr">
        <is>
          <t>39.9/2</t>
        </is>
      </c>
      <c r="I221" s="4">
        <f>IF(H221="","",VALUE(LEFT(H221,FIND("/",H221)-1))/VALUE(MID(H221,FIND("/",H221)+1,99)))</f>
        <v/>
      </c>
      <c r="J221" s="4" t="n"/>
      <c r="K221" s="0" t="inlineStr">
        <is>
          <t>https://www.pns.hk/en/nong-shim-potato-noodle-4-packs/p/BP_440418</t>
        </is>
      </c>
      <c r="L221" s="0" t="inlineStr">
        <is>
          <t>IMG_7054.HEIC</t>
        </is>
      </c>
    </row>
    <row r="222">
      <c r="A222" s="4" t="n">
        <v>217</v>
      </c>
      <c r="B222" s="6" t="inlineStr">
        <is>
          <t>Samyang</t>
        </is>
      </c>
      <c r="C222" s="6" t="inlineStr">
        <is>
          <t>Samyang Buldak Hot Chicken Flavor Ramen Multi</t>
        </is>
      </c>
      <c r="D222" s="4" t="n">
        <v>44</v>
      </c>
      <c r="E222" s="4" t="inlineStr">
        <is>
          <t>Groceries</t>
        </is>
      </c>
      <c r="F222" s="4" t="inlineStr">
        <is>
          <t>Instant Noodles</t>
        </is>
      </c>
      <c r="G222" s="4" t="inlineStr">
        <is>
          <t>140G x 5</t>
        </is>
      </c>
      <c r="H222" s="4" t="n"/>
      <c r="I222" s="4">
        <f>IF(H222="","",VALUE(LEFT(H222,FIND("/",H222)-1))/VALUE(MID(H222,FIND("/",H222)+1,99)))</f>
        <v/>
      </c>
      <c r="J222" s="4" t="n"/>
      <c r="K222" s="0" t="inlineStr">
        <is>
          <t>https://www.pns.hk/en/all-brands/b/119999/samyang</t>
        </is>
      </c>
      <c r="L222" s="0" t="inlineStr">
        <is>
          <t>IMG_7054.HEIC</t>
        </is>
      </c>
    </row>
    <row r="223">
      <c r="A223" s="4" t="n">
        <v>218</v>
      </c>
      <c r="B223" s="6" t="inlineStr">
        <is>
          <t>Samyang</t>
        </is>
      </c>
      <c r="C223" s="6" t="inlineStr">
        <is>
          <t>Samyang Hotchicken Carbonara Flavor Ramen Multi</t>
        </is>
      </c>
      <c r="D223" s="4" t="n">
        <v>44</v>
      </c>
      <c r="E223" s="4" t="inlineStr">
        <is>
          <t>Groceries</t>
        </is>
      </c>
      <c r="F223" s="4" t="inlineStr">
        <is>
          <t>Instant Noodles</t>
        </is>
      </c>
      <c r="G223" s="4" t="inlineStr">
        <is>
          <t>650G</t>
        </is>
      </c>
      <c r="H223" s="4" t="n"/>
      <c r="I223" s="4">
        <f>IF(H223="","",VALUE(LEFT(H223,FIND("/",H223)-1))/VALUE(MID(H223,FIND("/",H223)+1,99)))</f>
        <v/>
      </c>
      <c r="J223" s="4" t="n"/>
      <c r="K223" s="0" t="inlineStr">
        <is>
          <t>https://www.pns.hk/en/all-brands/b/119999/samyang</t>
        </is>
      </c>
      <c r="L223" s="0" t="inlineStr">
        <is>
          <t>IMG_7054.HEIC</t>
        </is>
      </c>
    </row>
    <row r="224">
      <c r="A224" s="4" t="n">
        <v>219</v>
      </c>
      <c r="B224" s="6" t="inlineStr">
        <is>
          <t>Samyang</t>
        </is>
      </c>
      <c r="C224" s="6" t="inlineStr">
        <is>
          <t>Samyang Tangle Creamy Mushroom Instant Pasta</t>
        </is>
      </c>
      <c r="D224" s="4" t="n">
        <v>41.9</v>
      </c>
      <c r="E224" s="4" t="inlineStr">
        <is>
          <t>Groceries</t>
        </is>
      </c>
      <c r="F224" s="4" t="inlineStr">
        <is>
          <t>Instant Noodles</t>
        </is>
      </c>
      <c r="G224" s="4" t="inlineStr">
        <is>
          <t>105G x 4</t>
        </is>
      </c>
      <c r="H224" s="4" t="n"/>
      <c r="I224" s="4">
        <f>IF(H224="","",VALUE(LEFT(H224,FIND("/",H224)-1))/VALUE(MID(H224,FIND("/",H224)+1,99)))</f>
        <v/>
      </c>
      <c r="J224" s="4" t="n"/>
      <c r="K224" s="0" t="inlineStr">
        <is>
          <t>https://www.pns.hk/en/tangle-creamy-mushroom-instant-pasta/p/BP_123814</t>
        </is>
      </c>
      <c r="L224" s="0" t="inlineStr">
        <is>
          <t>IMG_7054.HEIC</t>
        </is>
      </c>
    </row>
    <row r="225">
      <c r="A225" s="4" t="n">
        <v>220</v>
      </c>
      <c r="B225" s="6" t="inlineStr">
        <is>
          <t>Samyang</t>
        </is>
      </c>
      <c r="C225" s="6" t="inlineStr">
        <is>
          <t>Samyang Tangle Garlic Oil Instant Pasta</t>
        </is>
      </c>
      <c r="D225" s="4" t="n">
        <v>41.9</v>
      </c>
      <c r="E225" s="4" t="inlineStr">
        <is>
          <t>Groceries</t>
        </is>
      </c>
      <c r="F225" s="4" t="inlineStr">
        <is>
          <t>Instant Noodles</t>
        </is>
      </c>
      <c r="G225" s="4" t="inlineStr">
        <is>
          <t>100G x 4</t>
        </is>
      </c>
      <c r="H225" s="4" t="n"/>
      <c r="I225" s="4">
        <f>IF(H225="","",VALUE(LEFT(H225,FIND("/",H225)-1))/VALUE(MID(H225,FIND("/",H225)+1,99)))</f>
        <v/>
      </c>
      <c r="J225" s="4" t="n"/>
      <c r="K225" s="0" t="inlineStr">
        <is>
          <t>https://www.pns.hk/en/all-brands/b/119999/samyang</t>
        </is>
      </c>
      <c r="L225" s="0" t="inlineStr">
        <is>
          <t>IMG_7054.HEIC</t>
        </is>
      </c>
    </row>
    <row r="226">
      <c r="A226" s="4" t="n">
        <v>221</v>
      </c>
      <c r="B226" s="6" t="inlineStr">
        <is>
          <t>Youus</t>
        </is>
      </c>
      <c r="C226" s="6" t="inlineStr">
        <is>
          <t>Youus Omori Kimchi Jjigae Ramen</t>
        </is>
      </c>
      <c r="D226" s="4" t="n">
        <v>58</v>
      </c>
      <c r="E226" s="4" t="inlineStr">
        <is>
          <t>Groceries</t>
        </is>
      </c>
      <c r="F226" s="4" t="inlineStr">
        <is>
          <t>Instant Noodles</t>
        </is>
      </c>
      <c r="G226" s="4" t="inlineStr">
        <is>
          <t>160G x 4</t>
        </is>
      </c>
      <c r="H226" s="4" t="n"/>
      <c r="I226" s="4">
        <f>IF(H226="","",VALUE(LEFT(H226,FIND("/",H226)-1))/VALUE(MID(H226,FIND("/",H226)+1,99)))</f>
        <v/>
      </c>
      <c r="J226" s="4" t="n"/>
      <c r="K226" s="0" t="inlineStr">
        <is>
          <t>https://www.pns.hk/en/4-5-s-multipack-noodle/c/noodles-promo</t>
        </is>
      </c>
      <c r="L226" s="0" t="inlineStr">
        <is>
          <t>IMG_7054.HEIC</t>
        </is>
      </c>
    </row>
    <row r="227">
      <c r="A227" s="4" t="n">
        <v>222</v>
      </c>
      <c r="B227" s="6" t="inlineStr">
        <is>
          <t>Nong Shim</t>
        </is>
      </c>
      <c r="C227" s="6" t="inlineStr">
        <is>
          <t>Nong Shim Ansungtangmyun</t>
        </is>
      </c>
      <c r="D227" s="4" t="n">
        <v>58</v>
      </c>
      <c r="E227" s="4" t="inlineStr">
        <is>
          <t>Groceries</t>
        </is>
      </c>
      <c r="F227" s="4" t="inlineStr">
        <is>
          <t>Instant Noodles</t>
        </is>
      </c>
      <c r="G227" s="4" t="inlineStr">
        <is>
          <t>5'S</t>
        </is>
      </c>
      <c r="H227" s="4" t="n"/>
      <c r="I227" s="4">
        <f>IF(H227="","",VALUE(LEFT(H227,FIND("/",H227)-1))/VALUE(MID(H227,FIND("/",H227)+1,99)))</f>
        <v/>
      </c>
      <c r="J227" s="4" t="inlineStr">
        <is>
          <t>Price label/pack association checked from image</t>
        </is>
      </c>
      <c r="K227" s="0" t="inlineStr">
        <is>
          <t>https://www.pns.hk/en/nong-shim-noodle-products/c/nongshimnoodle</t>
        </is>
      </c>
      <c r="L227" s="0" t="inlineStr">
        <is>
          <t>IMG_7054.HEIC</t>
        </is>
      </c>
    </row>
    <row r="228">
      <c r="A228" s="4" t="n">
        <v>223</v>
      </c>
      <c r="B228" s="6" t="inlineStr">
        <is>
          <t>Youus</t>
        </is>
      </c>
      <c r="C228" s="6" t="inlineStr">
        <is>
          <t>Youus Gonghwachun Zajang Noodle Multi Pack</t>
        </is>
      </c>
      <c r="D228" s="4" t="n">
        <v>58</v>
      </c>
      <c r="E228" s="4" t="inlineStr">
        <is>
          <t>Groceries</t>
        </is>
      </c>
      <c r="F228" s="4" t="inlineStr">
        <is>
          <t>Instant Noodles</t>
        </is>
      </c>
      <c r="G228" s="4" t="inlineStr">
        <is>
          <t>195G x 4</t>
        </is>
      </c>
      <c r="H228" s="4" t="n"/>
      <c r="I228" s="4">
        <f>IF(H228="","",VALUE(LEFT(H228,FIND("/",H228)-1))/VALUE(MID(H228,FIND("/",H228)+1,99)))</f>
        <v/>
      </c>
      <c r="J228" s="4" t="inlineStr">
        <is>
          <t>Price label/pack association checked from image</t>
        </is>
      </c>
      <c r="K228" s="0" t="inlineStr">
        <is>
          <t>https://www.pns.hk/en/4-5-s-multipack-noodle/c/noodles-promo</t>
        </is>
      </c>
      <c r="L228" s="0" t="inlineStr">
        <is>
          <t>IMG_7054.HEIC</t>
        </is>
      </c>
    </row>
    <row r="229">
      <c r="A229" s="4" t="n">
        <v>224</v>
      </c>
      <c r="B229" s="6" t="inlineStr">
        <is>
          <t>Doll</t>
        </is>
      </c>
      <c r="C229" s="6" t="inlineStr">
        <is>
          <t>Doll Stir-Fry Noodle King Special Spicy Sauce</t>
        </is>
      </c>
      <c r="D229" s="4" t="n">
        <v>18</v>
      </c>
      <c r="E229" s="4" t="inlineStr">
        <is>
          <t>Groceries</t>
        </is>
      </c>
      <c r="F229" s="4" t="inlineStr">
        <is>
          <t>Instant Noodles</t>
        </is>
      </c>
      <c r="G229" s="4" t="inlineStr">
        <is>
          <t>105G x 4</t>
        </is>
      </c>
      <c r="H229" s="4" t="inlineStr">
        <is>
          <t>28/2</t>
        </is>
      </c>
      <c r="I229" s="4">
        <f>IF(H229="","",VALUE(LEFT(H229,FIND("/",H229)-1))/VALUE(MID(H229,FIND("/",H229)+1,99)))</f>
        <v/>
      </c>
      <c r="J229" s="4" t="n"/>
      <c r="K229" s="0" t="inlineStr">
        <is>
          <t>https://www.pns.hk/zh-hk/%E8%A2%8B%E8%A3%9D%E7%89%B9%E8%89%B2%E9%A6%99%E8%BE%A3%E9%86%AC%E5%91%B3%E7%82%92%E9%BA%B5%E7%8E%8B/p/BP_138120</t>
        </is>
      </c>
      <c r="L229" s="0" t="inlineStr">
        <is>
          <t>IMG_7055.HEIC</t>
        </is>
      </c>
    </row>
    <row r="230">
      <c r="A230" s="4" t="n">
        <v>225</v>
      </c>
      <c r="B230" s="6" t="inlineStr">
        <is>
          <t>Kiki</t>
        </is>
      </c>
      <c r="C230" s="6" t="inlineStr">
        <is>
          <t>Kiki Dry-Stirred Noodles with Scallion Oil</t>
        </is>
      </c>
      <c r="D230" s="4" t="n">
        <v>52</v>
      </c>
      <c r="E230" s="4" t="inlineStr">
        <is>
          <t>Groceries</t>
        </is>
      </c>
      <c r="F230" s="4" t="inlineStr">
        <is>
          <t>Instant Noodles</t>
        </is>
      </c>
      <c r="G230" s="4" t="inlineStr">
        <is>
          <t>450G</t>
        </is>
      </c>
      <c r="H230" s="4" t="n"/>
      <c r="I230" s="4">
        <f>IF(H230="","",VALUE(LEFT(H230,FIND("/",H230)-1))/VALUE(MID(H230,FIND("/",H230)+1,99)))</f>
        <v/>
      </c>
      <c r="J230" s="4" t="n"/>
      <c r="K230" s="0" t="inlineStr">
        <is>
          <t>https://www.pns.hk/zh-hk/all-brands/b/141253/kiki</t>
        </is>
      </c>
      <c r="L230" s="0" t="inlineStr">
        <is>
          <t>IMG_7055.HEIC</t>
        </is>
      </c>
    </row>
    <row r="231">
      <c r="A231" s="4" t="n">
        <v>226</v>
      </c>
      <c r="B231" s="6" t="inlineStr">
        <is>
          <t>Kiki</t>
        </is>
      </c>
      <c r="C231" s="6" t="inlineStr">
        <is>
          <t>Kiki Dry-Stirred Noodles with Sichuan Spices</t>
        </is>
      </c>
      <c r="D231" s="4" t="n">
        <v>52</v>
      </c>
      <c r="E231" s="4" t="inlineStr">
        <is>
          <t>Groceries</t>
        </is>
      </c>
      <c r="F231" s="4" t="inlineStr">
        <is>
          <t>Instant Noodles</t>
        </is>
      </c>
      <c r="G231" s="4" t="inlineStr">
        <is>
          <t>450G</t>
        </is>
      </c>
      <c r="H231" s="4" t="n"/>
      <c r="I231" s="4">
        <f>IF(H231="","",VALUE(LEFT(H231,FIND("/",H231)-1))/VALUE(MID(H231,FIND("/",H231)+1,99)))</f>
        <v/>
      </c>
      <c r="J231" s="4" t="n"/>
      <c r="K231" s="0" t="inlineStr">
        <is>
          <t>https://www.pns.hk/en/dry-stirred-noodle-w-sichuan-spices/p/BP_496947</t>
        </is>
      </c>
      <c r="L231" s="0" t="inlineStr">
        <is>
          <t>IMG_7055.HEIC</t>
        </is>
      </c>
    </row>
    <row r="232">
      <c r="A232" s="4" t="n">
        <v>227</v>
      </c>
      <c r="B232" s="6" t="inlineStr">
        <is>
          <t>Ottogi</t>
        </is>
      </c>
      <c r="C232" s="6" t="inlineStr">
        <is>
          <t>Ottogi Cheese Ramen</t>
        </is>
      </c>
      <c r="D232" s="4" t="n">
        <v>26.6</v>
      </c>
      <c r="E232" s="4" t="inlineStr">
        <is>
          <t>Groceries</t>
        </is>
      </c>
      <c r="F232" s="4" t="inlineStr">
        <is>
          <t>Instant Noodles</t>
        </is>
      </c>
      <c r="G232" s="4" t="inlineStr">
        <is>
          <t>111G x 4</t>
        </is>
      </c>
      <c r="H232" s="4" t="inlineStr">
        <is>
          <t>39.9/2</t>
        </is>
      </c>
      <c r="I232" s="4">
        <f>IF(H232="","",VALUE(LEFT(H232,FIND("/",H232)-1))/VALUE(MID(H232,FIND("/",H232)+1,99)))</f>
        <v/>
      </c>
      <c r="J232" s="4" t="n"/>
      <c r="K232" s="0" t="inlineStr">
        <is>
          <t>https://www.pns.hk/en/all-brands/b/115936/otoki</t>
        </is>
      </c>
      <c r="L232" s="0" t="inlineStr">
        <is>
          <t>IMG_7055.HEIC</t>
        </is>
      </c>
    </row>
    <row r="233">
      <c r="A233" s="4" t="n">
        <v>228</v>
      </c>
      <c r="B233" s="6" t="inlineStr">
        <is>
          <t>Ottogi</t>
        </is>
      </c>
      <c r="C233" s="6" t="inlineStr">
        <is>
          <t>Ottogi Real Cheese Ramen</t>
        </is>
      </c>
      <c r="D233" s="4" t="n">
        <v>33</v>
      </c>
      <c r="E233" s="4" t="inlineStr">
        <is>
          <t>Groceries</t>
        </is>
      </c>
      <c r="F233" s="4" t="inlineStr">
        <is>
          <t>Instant Noodles</t>
        </is>
      </c>
      <c r="G233" s="4" t="inlineStr">
        <is>
          <t>135G x 4</t>
        </is>
      </c>
      <c r="H233" s="4" t="n"/>
      <c r="I233" s="4">
        <f>IF(H233="","",VALUE(LEFT(H233,FIND("/",H233)-1))/VALUE(MID(H233,FIND("/",H233)+1,99)))</f>
        <v/>
      </c>
      <c r="J233" s="4" t="n"/>
      <c r="K233" s="0" t="inlineStr">
        <is>
          <t>https://www.pns.hk/en/all-brands/b/115936/otoki</t>
        </is>
      </c>
      <c r="L233" s="0" t="inlineStr">
        <is>
          <t>IMG_7055.HEIC</t>
        </is>
      </c>
    </row>
    <row r="234">
      <c r="A234" s="4" t="n">
        <v>229</v>
      </c>
      <c r="B234" s="6" t="inlineStr">
        <is>
          <t>Ottogi</t>
        </is>
      </c>
      <c r="C234" s="6" t="inlineStr">
        <is>
          <t>Ottogi Cheddar Cheese Stir-Fry Cheesy Ramen</t>
        </is>
      </c>
      <c r="D234" s="4" t="n">
        <v>33</v>
      </c>
      <c r="E234" s="4" t="inlineStr">
        <is>
          <t>Groceries</t>
        </is>
      </c>
      <c r="F234" s="4" t="inlineStr">
        <is>
          <t>Instant Noodles</t>
        </is>
      </c>
      <c r="G234" s="4" t="inlineStr">
        <is>
          <t>110G x 4</t>
        </is>
      </c>
      <c r="H234" s="4" t="n"/>
      <c r="I234" s="4">
        <f>IF(H234="","",VALUE(LEFT(H234,FIND("/",H234)-1))/VALUE(MID(H234,FIND("/",H234)+1,99)))</f>
        <v/>
      </c>
      <c r="J234" s="4" t="n"/>
      <c r="K234" s="0" t="inlineStr">
        <is>
          <t>https://www.pns.hk/en/all-brands/b/115936/otoki</t>
        </is>
      </c>
      <c r="L234" s="0" t="inlineStr">
        <is>
          <t>IMG_7055.HEIC</t>
        </is>
      </c>
    </row>
    <row r="235">
      <c r="A235" s="4" t="n">
        <v>230</v>
      </c>
      <c r="B235" s="6" t="inlineStr">
        <is>
          <t>Ottogi</t>
        </is>
      </c>
      <c r="C235" s="6" t="inlineStr">
        <is>
          <t>Ottogi Spicy Cheese Ramen Noodle</t>
        </is>
      </c>
      <c r="D235" s="4" t="n">
        <v>33</v>
      </c>
      <c r="E235" s="4" t="inlineStr">
        <is>
          <t>Groceries</t>
        </is>
      </c>
      <c r="F235" s="4" t="inlineStr">
        <is>
          <t>Instant Noodles</t>
        </is>
      </c>
      <c r="G235" s="4" t="inlineStr">
        <is>
          <t>111G x 4</t>
        </is>
      </c>
      <c r="H235" s="4" t="n"/>
      <c r="I235" s="4">
        <f>IF(H235="","",VALUE(LEFT(H235,FIND("/",H235)-1))/VALUE(MID(H235,FIND("/",H235)+1,99)))</f>
        <v/>
      </c>
      <c r="J235" s="4" t="inlineStr">
        <is>
          <t>Variant identified from package colour/name; verify if needed</t>
        </is>
      </c>
      <c r="K235" s="0" t="inlineStr">
        <is>
          <t>https://www.pns.hk/en/all-brands/b/115936/otoki</t>
        </is>
      </c>
      <c r="L235" s="0" t="inlineStr">
        <is>
          <t>IMG_7055.HEIC</t>
        </is>
      </c>
    </row>
    <row r="236">
      <c r="A236" s="4" t="n">
        <v>231</v>
      </c>
      <c r="B236" s="6" t="inlineStr">
        <is>
          <t>Nissin</t>
        </is>
      </c>
      <c r="C236" s="6" t="inlineStr">
        <is>
          <t>Nissin Demae Iccho Japan Local Ramen Series Kyushu Tonkotsu Flavour</t>
        </is>
      </c>
      <c r="D236" s="4" t="n">
        <v>4.9</v>
      </c>
      <c r="E236" s="4" t="inlineStr">
        <is>
          <t>Groceries</t>
        </is>
      </c>
      <c r="F236" s="4" t="inlineStr">
        <is>
          <t>Instant Noodles</t>
        </is>
      </c>
      <c r="G236" s="4" t="inlineStr">
        <is>
          <t>98G</t>
        </is>
      </c>
      <c r="H236" s="4" t="inlineStr">
        <is>
          <t>32/9</t>
        </is>
      </c>
      <c r="I236" s="4">
        <f>IF(H236="","",VALUE(LEFT(H236,FIND("/",H236)-1))/VALUE(MID(H236,FIND("/",H236)+1,99)))</f>
        <v/>
      </c>
      <c r="J236" s="4" t="n"/>
      <c r="K236" s="0" t="inlineStr">
        <is>
          <t>https://www.nissinfoods.com.hk/eng/products/demae-iccho/pack-kyushu-tonkotsu-flavour-450ml</t>
        </is>
      </c>
      <c r="L236" s="0" t="inlineStr">
        <is>
          <t>IMG_7055.HEIC</t>
        </is>
      </c>
    </row>
    <row r="237">
      <c r="A237" s="4" t="n">
        <v>232</v>
      </c>
      <c r="B237" s="6" t="inlineStr">
        <is>
          <t>Nissin</t>
        </is>
      </c>
      <c r="C237" s="6" t="inlineStr">
        <is>
          <t>Nissin Demae Iccho Japan Local Ramen Series Hokkaido Miso Tonkotsu Flavour</t>
        </is>
      </c>
      <c r="D237" s="4" t="n">
        <v>4.9</v>
      </c>
      <c r="E237" s="4" t="inlineStr">
        <is>
          <t>Groceries</t>
        </is>
      </c>
      <c r="F237" s="4" t="inlineStr">
        <is>
          <t>Instant Noodles</t>
        </is>
      </c>
      <c r="G237" s="4" t="inlineStr">
        <is>
          <t>100G</t>
        </is>
      </c>
      <c r="H237" s="4" t="inlineStr">
        <is>
          <t>32/9</t>
        </is>
      </c>
      <c r="I237" s="4">
        <f>IF(H237="","",VALUE(LEFT(H237,FIND("/",H237)-1))/VALUE(MID(H237,FIND("/",H237)+1,99)))</f>
        <v/>
      </c>
      <c r="J237" s="4" t="inlineStr">
        <is>
          <t>Flavour inferred from package colour/text</t>
        </is>
      </c>
      <c r="K237" s="0" t="inlineStr">
        <is>
          <t>https://www.nissinfoods.com.hk/eng/products/demae-iccho/pack-hokkaido-miso-tonkotsu-flavour</t>
        </is>
      </c>
      <c r="L237" s="0" t="inlineStr">
        <is>
          <t>IMG_7055.HEIC</t>
        </is>
      </c>
    </row>
    <row r="238">
      <c r="A238" s="4" t="n">
        <v>233</v>
      </c>
      <c r="B238" s="6" t="inlineStr">
        <is>
          <t>Nissin</t>
        </is>
      </c>
      <c r="C238" s="6" t="inlineStr">
        <is>
          <t>Nissin Demae Iccho Japan Local Ramen Series Tokyo Shoyu Tonkotsu Flavour</t>
        </is>
      </c>
      <c r="D238" s="4" t="n">
        <v>4.9</v>
      </c>
      <c r="E238" s="4" t="inlineStr">
        <is>
          <t>Groceries</t>
        </is>
      </c>
      <c r="F238" s="4" t="inlineStr">
        <is>
          <t>Instant Noodles</t>
        </is>
      </c>
      <c r="G238" s="4" t="inlineStr">
        <is>
          <t>100G</t>
        </is>
      </c>
      <c r="H238" s="4" t="inlineStr">
        <is>
          <t>32/9</t>
        </is>
      </c>
      <c r="I238" s="4">
        <f>IF(H238="","",VALUE(LEFT(H238,FIND("/",H238)-1))/VALUE(MID(H238,FIND("/",H238)+1,99)))</f>
        <v/>
      </c>
      <c r="J238" s="4" t="inlineStr">
        <is>
          <t>Flavour inferred from package colour/text</t>
        </is>
      </c>
      <c r="K238" s="0" t="inlineStr">
        <is>
          <t>https://www.nissinfoods.com.hk/eng/products/demae-iccho/pack-tokyo-shoyu-tonkotsu-flavour</t>
        </is>
      </c>
      <c r="L238" s="0" t="inlineStr">
        <is>
          <t>IMG_7055.HEIC</t>
        </is>
      </c>
    </row>
    <row r="239">
      <c r="A239" s="4" t="n">
        <v>234</v>
      </c>
      <c r="B239" s="6" t="inlineStr">
        <is>
          <t>Fuku</t>
        </is>
      </c>
      <c r="C239" s="6" t="inlineStr">
        <is>
          <t>Fuku Superior Soup Instant Noodle</t>
        </is>
      </c>
      <c r="D239" s="4" t="n">
        <v>14</v>
      </c>
      <c r="E239" s="4" t="inlineStr">
        <is>
          <t>Groceries</t>
        </is>
      </c>
      <c r="F239" s="4" t="inlineStr">
        <is>
          <t>Instant Noodles</t>
        </is>
      </c>
      <c r="G239" s="4" t="inlineStr">
        <is>
          <t>90G</t>
        </is>
      </c>
      <c r="H239" s="4" t="n"/>
      <c r="I239" s="4">
        <f>IF(H239="","",VALUE(LEFT(H239,FIND("/",H239)-1))/VALUE(MID(H239,FIND("/",H239)+1,99)))</f>
        <v/>
      </c>
      <c r="J239" s="4" t="inlineStr">
        <is>
          <t>Single pack; distinct from the 90G x 5 multipack</t>
        </is>
      </c>
      <c r="K239" s="0" t="inlineStr">
        <is>
          <t>https://www.pns.hk/en/all-brands/b/106579/fuku</t>
        </is>
      </c>
      <c r="L239" s="0" t="inlineStr">
        <is>
          <t>IMG_7055.HEIC</t>
        </is>
      </c>
    </row>
    <row r="240">
      <c r="A240" s="4" t="n">
        <v>235</v>
      </c>
      <c r="B240" s="6" t="inlineStr">
        <is>
          <t>Unknown</t>
        </is>
      </c>
      <c r="C240" s="6" t="inlineStr">
        <is>
          <t>Unknown instant noodle product (brown/gold pack; hot beef flavour)</t>
        </is>
      </c>
      <c r="D240" s="4" t="n">
        <v>14</v>
      </c>
      <c r="E240" s="4" t="inlineStr">
        <is>
          <t>Groceries</t>
        </is>
      </c>
      <c r="F240" s="4" t="inlineStr">
        <is>
          <t>Instant Noodles</t>
        </is>
      </c>
      <c r="G240" s="4" t="inlineStr">
        <is>
          <t>Unknown</t>
        </is>
      </c>
      <c r="H240" s="4" t="n"/>
      <c r="I240" s="4">
        <f>IF(H240="","",VALUE(LEFT(H240,FIND("/",H240)-1))/VALUE(MID(H240,FIND("/",H240)+1,99)))</f>
        <v/>
      </c>
      <c r="J240" s="4" t="inlineStr">
        <is>
          <t>Brand and exact product identity unclear from IMG_7055</t>
        </is>
      </c>
      <c r="K240" s="0" t="str"/>
      <c r="L240" s="0" t="inlineStr">
        <is>
          <t>IMG_7055.HEIC</t>
        </is>
      </c>
    </row>
    <row r="241">
      <c r="A241" s="4" t="n">
        <v>236</v>
      </c>
      <c r="B241" s="6" t="inlineStr">
        <is>
          <t>Unknown</t>
        </is>
      </c>
      <c r="C241" s="6" t="inlineStr">
        <is>
          <t>Unknown noodle product (transparent pack; label obscured)</t>
        </is>
      </c>
      <c r="D241" s="4" t="n">
        <v>14</v>
      </c>
      <c r="E241" s="4" t="inlineStr">
        <is>
          <t>Groceries</t>
        </is>
      </c>
      <c r="F241" s="4" t="inlineStr">
        <is>
          <t>Instant Noodles</t>
        </is>
      </c>
      <c r="G241" s="4" t="inlineStr">
        <is>
          <t>Unknown</t>
        </is>
      </c>
      <c r="H241" s="4" t="n"/>
      <c r="I241" s="4">
        <f>IF(H241="","",VALUE(LEFT(H241,FIND("/",H241)-1))/VALUE(MID(H241,FIND("/",H241)+1,99)))</f>
        <v/>
      </c>
      <c r="J241" s="4" t="inlineStr">
        <is>
          <t>Brand and exact product identity unclear from IMG_7055</t>
        </is>
      </c>
      <c r="K241" s="0" t="str"/>
      <c r="L241" s="0" t="inlineStr">
        <is>
          <t>IMG_7055.HEIC</t>
        </is>
      </c>
    </row>
    <row r="242">
      <c r="A242" s="4" t="n">
        <v>237</v>
      </c>
      <c r="B242" s="6" t="inlineStr">
        <is>
          <t>Unknown</t>
        </is>
      </c>
      <c r="C242" s="6" t="inlineStr">
        <is>
          <t>Sardines in Tomato Sauce</t>
        </is>
      </c>
      <c r="D242" s="4" t="n"/>
      <c r="E242" s="4" t="inlineStr">
        <is>
          <t>Groceries</t>
        </is>
      </c>
      <c r="F242" s="4" t="inlineStr">
        <is>
          <t>Canned Goods</t>
        </is>
      </c>
      <c r="G242" s="4" t="inlineStr">
        <is>
          <t>Unknown</t>
        </is>
      </c>
      <c r="H242" s="4" t="n"/>
      <c r="I242" s="4">
        <f>IF(H242="","",VALUE(LEFT(H242,FIND("/",H242)-1))/VALUE(MID(H242,FIND("/",H242)+1,99)))</f>
        <v/>
      </c>
      <c r="J242" s="4" t="inlineStr">
        <is>
          <t>Brand/weight/price not readable from IMG_7056</t>
        </is>
      </c>
      <c r="K242" s="0" t="str"/>
      <c r="L242" s="0" t="inlineStr">
        <is>
          <t>IMG_7056.HEIC</t>
        </is>
      </c>
    </row>
    <row r="243">
      <c r="A243" s="4" t="n">
        <v>238</v>
      </c>
      <c r="B243" s="6" t="inlineStr">
        <is>
          <t>Ciao</t>
        </is>
      </c>
      <c r="C243" s="6" t="inlineStr">
        <is>
          <t>Ciao Chicken Cat Food</t>
        </is>
      </c>
      <c r="D243" s="4" t="n"/>
      <c r="E243" s="4" t="inlineStr">
        <is>
          <t>Groceries</t>
        </is>
      </c>
      <c r="F243" s="4" t="inlineStr">
        <is>
          <t>Canned Goods</t>
        </is>
      </c>
      <c r="G243" s="4" t="inlineStr">
        <is>
          <t>Unknown</t>
        </is>
      </c>
      <c r="H243" s="4" t="n"/>
      <c r="I243" s="4">
        <f>IF(H243="","",VALUE(LEFT(H243,FIND("/",H243)-1))/VALUE(MID(H243,FIND("/",H243)+1,99)))</f>
        <v/>
      </c>
      <c r="J243" s="4" t="inlineStr">
        <is>
          <t>Pet-food product; price and exact variant not readable</t>
        </is>
      </c>
      <c r="K243" s="0" t="str"/>
      <c r="L243" s="0" t="inlineStr">
        <is>
          <t>IMG_7056.HEIC</t>
        </is>
      </c>
    </row>
    <row r="244">
      <c r="A244" s="4" t="n">
        <v>239</v>
      </c>
      <c r="B244" s="6" t="inlineStr">
        <is>
          <t>Unknown</t>
        </is>
      </c>
      <c r="C244" s="6" t="inlineStr">
        <is>
          <t>Unknown packaged meat product</t>
        </is>
      </c>
      <c r="D244" s="4" t="n"/>
      <c r="E244" s="4" t="inlineStr">
        <is>
          <t>Groceries</t>
        </is>
      </c>
      <c r="F244" s="4" t="inlineStr">
        <is>
          <t>Meat</t>
        </is>
      </c>
      <c r="G244" s="4" t="inlineStr">
        <is>
          <t>Unknown</t>
        </is>
      </c>
      <c r="H244" s="4" t="n"/>
      <c r="I244" s="4">
        <f>IF(H244="","",VALUE(LEFT(H244,FIND("/",H244)-1))/VALUE(MID(H244,FIND("/",H244)+1,99)))</f>
        <v/>
      </c>
      <c r="J244" s="4" t="inlineStr">
        <is>
          <t>Package partly obscured in IMG_7056</t>
        </is>
      </c>
      <c r="K244" s="0" t="str"/>
      <c r="L244" s="0" t="inlineStr">
        <is>
          <t>IMG_7056.HEIC</t>
        </is>
      </c>
    </row>
    <row r="245">
      <c r="A245" s="4" t="n">
        <v>240</v>
      </c>
      <c r="B245" s="6" t="inlineStr">
        <is>
          <t>Select</t>
        </is>
      </c>
      <c r="C245" s="6" t="inlineStr">
        <is>
          <t>Select Yuzu Tea</t>
        </is>
      </c>
      <c r="D245" s="4" t="n"/>
      <c r="E245" s="4" t="inlineStr">
        <is>
          <t>Groceries</t>
        </is>
      </c>
      <c r="F245" s="4" t="inlineStr">
        <is>
          <t>Condiments</t>
        </is>
      </c>
      <c r="G245" s="4" t="inlineStr">
        <is>
          <t>Unknown</t>
        </is>
      </c>
      <c r="H245" s="4" t="n"/>
      <c r="I245" s="4">
        <f>IF(H245="","",VALUE(LEFT(H245,FIND("/",H245)-1))/VALUE(MID(H245,FIND("/",H245)+1,99)))</f>
        <v/>
      </c>
      <c r="J245" s="4" t="inlineStr">
        <is>
          <t>Product name readable; size and price unclear</t>
        </is>
      </c>
      <c r="K245" s="0" t="str"/>
      <c r="L245" s="0" t="inlineStr">
        <is>
          <t>IMG_7056.HEIC</t>
        </is>
      </c>
    </row>
    <row r="246">
      <c r="A246" s="4" t="n">
        <v>241</v>
      </c>
      <c r="B246" s="6" t="inlineStr">
        <is>
          <t>Select</t>
        </is>
      </c>
      <c r="C246" s="6" t="inlineStr">
        <is>
          <t>Select Centifloral Honey</t>
        </is>
      </c>
      <c r="D246" s="4" t="n">
        <v>63</v>
      </c>
      <c r="E246" s="4" t="inlineStr">
        <is>
          <t>Groceries</t>
        </is>
      </c>
      <c r="F246" s="4" t="inlineStr">
        <is>
          <t>Condiments</t>
        </is>
      </c>
      <c r="G246" s="4" t="inlineStr">
        <is>
          <t>400G</t>
        </is>
      </c>
      <c r="H246" s="4" t="n"/>
      <c r="I246" s="4">
        <f>IF(H246="","",VALUE(LEFT(H246,FIND("/",H246)-1))/VALUE(MID(H246,FIND("/",H246)+1,99)))</f>
        <v/>
      </c>
      <c r="J246" s="4" t="n"/>
      <c r="K246" s="0" t="inlineStr">
        <is>
          <t>https://www.pns.hk/en/breakfast-bakery-jam/honey/c/010301</t>
        </is>
      </c>
      <c r="L246" s="0" t="inlineStr">
        <is>
          <t>IMG_7056.HEIC</t>
        </is>
      </c>
    </row>
    <row r="247">
      <c r="A247" s="4" t="n">
        <v>242</v>
      </c>
      <c r="B247" s="6" t="inlineStr">
        <is>
          <t>Select</t>
        </is>
      </c>
      <c r="C247" s="6" t="inlineStr">
        <is>
          <t>Select Winter Honey</t>
        </is>
      </c>
      <c r="D247" s="4" t="n">
        <v>63</v>
      </c>
      <c r="E247" s="4" t="inlineStr">
        <is>
          <t>Groceries</t>
        </is>
      </c>
      <c r="F247" s="4" t="inlineStr">
        <is>
          <t>Condiments</t>
        </is>
      </c>
      <c r="G247" s="4" t="inlineStr">
        <is>
          <t>400G</t>
        </is>
      </c>
      <c r="H247" s="4" t="n"/>
      <c r="I247" s="4">
        <f>IF(H247="","",VALUE(LEFT(H247,FIND("/",H247)-1))/VALUE(MID(H247,FIND("/",H247)+1,99)))</f>
        <v/>
      </c>
      <c r="J247" s="4" t="inlineStr">
        <is>
          <t>Price/product association checked from image</t>
        </is>
      </c>
      <c r="K247" s="0" t="inlineStr">
        <is>
          <t>https://www.pns.hk/en/breakfast-bakery-jam/honey/c/010301</t>
        </is>
      </c>
      <c r="L247" s="0" t="inlineStr">
        <is>
          <t>IMG_7056.HEIC</t>
        </is>
      </c>
    </row>
    <row r="248">
      <c r="A248" s="4" t="n">
        <v>243</v>
      </c>
      <c r="B248" s="6" t="inlineStr">
        <is>
          <t>Skippy</t>
        </is>
      </c>
      <c r="C248" s="6" t="inlineStr">
        <is>
          <t>Skippy Peanut Butter</t>
        </is>
      </c>
      <c r="D248" s="4" t="n"/>
      <c r="E248" s="4" t="inlineStr">
        <is>
          <t>Groceries</t>
        </is>
      </c>
      <c r="F248" s="4" t="inlineStr">
        <is>
          <t>Condiments</t>
        </is>
      </c>
      <c r="G248" s="4" t="inlineStr">
        <is>
          <t>Unknown</t>
        </is>
      </c>
      <c r="H248" s="4" t="n"/>
      <c r="I248" s="4">
        <f>IF(H248="","",VALUE(LEFT(H248,FIND("/",H248)-1))/VALUE(MID(H248,FIND("/",H248)+1,99)))</f>
        <v/>
      </c>
      <c r="J248" s="4" t="inlineStr">
        <is>
          <t>Exact texture/size not readable from IMG_7056</t>
        </is>
      </c>
      <c r="K248" s="0" t="inlineStr">
        <is>
          <t>https://www.pns.hk/en/breakfast-bakery-jam/honey/c/010301</t>
        </is>
      </c>
      <c r="L248" s="0" t="inlineStr">
        <is>
          <t>IMG_7056.HEIC</t>
        </is>
      </c>
    </row>
    <row r="249">
      <c r="A249" s="4" t="n">
        <v>244</v>
      </c>
      <c r="B249" s="6" t="inlineStr">
        <is>
          <t>Select</t>
        </is>
      </c>
      <c r="C249" s="6" t="inlineStr">
        <is>
          <t>Select Snackit</t>
        </is>
      </c>
      <c r="D249" s="4" t="n"/>
      <c r="E249" s="4" t="inlineStr">
        <is>
          <t>Groceries</t>
        </is>
      </c>
      <c r="F249" s="4" t="inlineStr">
        <is>
          <t>Snacks</t>
        </is>
      </c>
      <c r="G249" s="4" t="inlineStr">
        <is>
          <t>Unknown</t>
        </is>
      </c>
      <c r="H249" s="4" t="n"/>
      <c r="I249" s="4">
        <f>IF(H249="","",VALUE(LEFT(H249,FIND("/",H249)-1))/VALUE(MID(H249,FIND("/",H249)+1,99)))</f>
        <v/>
      </c>
      <c r="J249" s="4" t="inlineStr">
        <is>
          <t>Exact flavour/size and price unclear from IMG_7056</t>
        </is>
      </c>
      <c r="K249" s="0" t="str"/>
      <c r="L249" s="0" t="inlineStr">
        <is>
          <t>IMG_7056.HEIC</t>
        </is>
      </c>
    </row>
    <row r="250">
      <c r="A250" s="4" t="n">
        <v>245</v>
      </c>
      <c r="B250" s="6" t="inlineStr">
        <is>
          <t>Essential Waitrose</t>
        </is>
      </c>
      <c r="C250" s="6" t="inlineStr">
        <is>
          <t>Essential Waitrose Pure Clear Honey</t>
        </is>
      </c>
      <c r="D250" s="4" t="n">
        <v>42</v>
      </c>
      <c r="E250" s="4" t="inlineStr">
        <is>
          <t>Groceries</t>
        </is>
      </c>
      <c r="F250" s="4" t="inlineStr">
        <is>
          <t>Condiments</t>
        </is>
      </c>
      <c r="G250" s="4" t="inlineStr">
        <is>
          <t>454G</t>
        </is>
      </c>
      <c r="H250" s="4" t="n"/>
      <c r="I250" s="4">
        <f>IF(H250="","",VALUE(LEFT(H250,FIND("/",H250)-1))/VALUE(MID(H250,FIND("/",H250)+1,99)))</f>
        <v/>
      </c>
      <c r="J250" s="4" t="n"/>
      <c r="K250" s="0" t="inlineStr">
        <is>
          <t>https://www.pns.hk/en/pure-clear-honey/p/BP_354674</t>
        </is>
      </c>
      <c r="L250" s="0" t="inlineStr">
        <is>
          <t>IMG_7056.HEIC</t>
        </is>
      </c>
    </row>
    <row r="251">
      <c r="A251" s="4" t="n">
        <v>246</v>
      </c>
      <c r="B251" s="6" t="inlineStr">
        <is>
          <t>Langnese</t>
        </is>
      </c>
      <c r="C251" s="6" t="inlineStr">
        <is>
          <t>Langnese Golden Clear Honey</t>
        </is>
      </c>
      <c r="D251" s="4" t="n">
        <v>69</v>
      </c>
      <c r="E251" s="4" t="inlineStr">
        <is>
          <t>Groceries</t>
        </is>
      </c>
      <c r="F251" s="4" t="inlineStr">
        <is>
          <t>Condiments</t>
        </is>
      </c>
      <c r="G251" s="4" t="inlineStr">
        <is>
          <t>375G</t>
        </is>
      </c>
      <c r="H251" s="4" t="n"/>
      <c r="I251" s="4">
        <f>IF(H251="","",VALUE(LEFT(H251,FIND("/",H251)-1))/VALUE(MID(H251,FIND("/",H251)+1,99)))</f>
        <v/>
      </c>
      <c r="J251" s="4" t="n"/>
      <c r="K251" s="0" t="inlineStr">
        <is>
          <t>https://www.pns.hk/en/breakfast-bakery-jam/honey/c/010301</t>
        </is>
      </c>
      <c r="L251" s="0" t="inlineStr">
        <is>
          <t>IMG_7056.HEIC</t>
        </is>
      </c>
    </row>
    <row r="252">
      <c r="A252" s="4" t="n">
        <v>247</v>
      </c>
      <c r="B252" s="6" t="inlineStr">
        <is>
          <t>Naturohoney</t>
        </is>
      </c>
      <c r="C252" s="6" t="inlineStr">
        <is>
          <t>Naturohoney Canadian Pure Honey</t>
        </is>
      </c>
      <c r="D252" s="4" t="n">
        <v>78</v>
      </c>
      <c r="E252" s="4" t="inlineStr">
        <is>
          <t>Groceries</t>
        </is>
      </c>
      <c r="F252" s="4" t="inlineStr">
        <is>
          <t>Condiments</t>
        </is>
      </c>
      <c r="G252" s="4" t="inlineStr">
        <is>
          <t>375G</t>
        </is>
      </c>
      <c r="H252" s="4" t="n"/>
      <c r="I252" s="4">
        <f>IF(H252="","",VALUE(LEFT(H252,FIND("/",H252)-1))/VALUE(MID(H252,FIND("/",H252)+1,99)))</f>
        <v/>
      </c>
      <c r="J252" s="4" t="n"/>
      <c r="K252" s="0" t="inlineStr">
        <is>
          <t>https://www.pns.hk/en/breakfast-bakery-jam/honey/c/010301</t>
        </is>
      </c>
      <c r="L252" s="0" t="inlineStr">
        <is>
          <t>IMG_7056.HEIC</t>
        </is>
      </c>
    </row>
    <row r="253">
      <c r="A253" s="4" t="n">
        <v>248</v>
      </c>
      <c r="B253" s="6" t="inlineStr">
        <is>
          <t>Select</t>
        </is>
      </c>
      <c r="C253" s="6" t="inlineStr">
        <is>
          <t>Select Winter Honey</t>
        </is>
      </c>
      <c r="D253" s="4" t="n">
        <v>79</v>
      </c>
      <c r="E253" s="4" t="inlineStr">
        <is>
          <t>Groceries</t>
        </is>
      </c>
      <c r="F253" s="4" t="inlineStr">
        <is>
          <t>Condiments</t>
        </is>
      </c>
      <c r="G253" s="4" t="inlineStr">
        <is>
          <t>1000G</t>
        </is>
      </c>
      <c r="H253" s="4" t="n"/>
      <c r="I253" s="4">
        <f>IF(H253="","",VALUE(LEFT(H253,FIND("/",H253)-1))/VALUE(MID(H253,FIND("/",H253)+1,99)))</f>
        <v/>
      </c>
      <c r="J253" s="4" t="inlineStr">
        <is>
          <t>9折 sticker visible; final discounted price unclear</t>
        </is>
      </c>
      <c r="K253" s="0" t="inlineStr">
        <is>
          <t>https://www.pns.hk/en/breakfast-bakery-jam/honey/c/010301</t>
        </is>
      </c>
      <c r="L253" s="0" t="inlineStr">
        <is>
          <t>IMG_7056.HEIC</t>
        </is>
      </c>
    </row>
    <row r="254">
      <c r="A254" s="4" t="n">
        <v>249</v>
      </c>
      <c r="B254" s="6" t="inlineStr">
        <is>
          <t>Select</t>
        </is>
      </c>
      <c r="C254" s="6" t="inlineStr">
        <is>
          <t>Select Centifloral Honey</t>
        </is>
      </c>
      <c r="D254" s="4" t="n">
        <v>66</v>
      </c>
      <c r="E254" s="4" t="inlineStr">
        <is>
          <t>Groceries</t>
        </is>
      </c>
      <c r="F254" s="4" t="inlineStr">
        <is>
          <t>Condiments</t>
        </is>
      </c>
      <c r="G254" s="4" t="inlineStr">
        <is>
          <t>1000G</t>
        </is>
      </c>
      <c r="H254" s="4" t="n"/>
      <c r="I254" s="4">
        <f>IF(H254="","",VALUE(LEFT(H254,FIND("/",H254)-1))/VALUE(MID(H254,FIND("/",H254)+1,99)))</f>
        <v/>
      </c>
      <c r="J254" s="4" t="inlineStr">
        <is>
          <t>Price/product association checked from image</t>
        </is>
      </c>
      <c r="K254" s="0" t="inlineStr">
        <is>
          <t>https://www.pns.hk/en/breakfast-bakery-jam/honey/c/010301</t>
        </is>
      </c>
      <c r="L254" s="0" t="inlineStr">
        <is>
          <t>IMG_7056.HEIC</t>
        </is>
      </c>
    </row>
    <row r="255">
      <c r="A255" s="4" t="n">
        <v>250</v>
      </c>
      <c r="B255" s="6" t="inlineStr">
        <is>
          <t>Po Sang Yuen</t>
        </is>
      </c>
      <c r="C255" s="6" t="inlineStr">
        <is>
          <t>Po Sang Yuen Mixed Honey</t>
        </is>
      </c>
      <c r="D255" s="4" t="n">
        <v>100</v>
      </c>
      <c r="E255" s="4" t="inlineStr">
        <is>
          <t>Groceries</t>
        </is>
      </c>
      <c r="F255" s="4" t="inlineStr">
        <is>
          <t>Condiments</t>
        </is>
      </c>
      <c r="G255" s="4" t="inlineStr">
        <is>
          <t>1000G</t>
        </is>
      </c>
      <c r="H255" s="4" t="n"/>
      <c r="I255" s="4">
        <f>IF(H255="","",VALUE(LEFT(H255,FIND("/",H255)-1))/VALUE(MID(H255,FIND("/",H255)+1,99)))</f>
        <v/>
      </c>
      <c r="J255" s="4" t="n"/>
      <c r="K255" s="0" t="inlineStr">
        <is>
          <t>https://www.pns.hk/en/breakfast-bakery-jam/honey/c/010301</t>
        </is>
      </c>
      <c r="L255" s="0" t="inlineStr">
        <is>
          <t>IMG_7056.HEIC</t>
        </is>
      </c>
    </row>
    <row r="256">
      <c r="A256" s="4" t="n">
        <v>251</v>
      </c>
      <c r="B256" s="6" t="inlineStr">
        <is>
          <t>Po Sang Yuen</t>
        </is>
      </c>
      <c r="C256" s="6" t="inlineStr">
        <is>
          <t>Po Sang Yuen Winter Honey</t>
        </is>
      </c>
      <c r="D256" s="4" t="n">
        <v>106</v>
      </c>
      <c r="E256" s="4" t="inlineStr">
        <is>
          <t>Groceries</t>
        </is>
      </c>
      <c r="F256" s="4" t="inlineStr">
        <is>
          <t>Condiments</t>
        </is>
      </c>
      <c r="G256" s="4" t="inlineStr">
        <is>
          <t>1000G</t>
        </is>
      </c>
      <c r="H256" s="4" t="n"/>
      <c r="I256" s="4">
        <f>IF(H256="","",VALUE(LEFT(H256,FIND("/",H256)-1))/VALUE(MID(H256,FIND("/",H256)+1,99)))</f>
        <v/>
      </c>
      <c r="J256" s="4" t="n"/>
      <c r="K256" s="0" t="inlineStr">
        <is>
          <t>https://www.pns.hk/en/breakfast-bakery-jam/honey/c/010301</t>
        </is>
      </c>
      <c r="L256" s="0" t="inlineStr">
        <is>
          <t>IMG_7056.HEIC</t>
        </is>
      </c>
    </row>
    <row r="257">
      <c r="A257" s="4" t="n">
        <v>252</v>
      </c>
      <c r="B257" s="6" t="inlineStr">
        <is>
          <t>BeF</t>
        </is>
      </c>
      <c r="C257" s="6" t="inlineStr">
        <is>
          <t>BeF Sardines</t>
        </is>
      </c>
      <c r="D257" s="4" t="n">
        <v>20</v>
      </c>
      <c r="E257" s="4" t="inlineStr">
        <is>
          <t>Groceries</t>
        </is>
      </c>
      <c r="F257" s="4" t="inlineStr">
        <is>
          <t>Canned Goods</t>
        </is>
      </c>
      <c r="G257" s="4" t="inlineStr">
        <is>
          <t>Unknown</t>
        </is>
      </c>
      <c r="H257" s="4" t="n"/>
      <c r="I257" s="4">
        <f>IF(H257="","",VALUE(LEFT(H257,FIND("/",H257)-1))/VALUE(MID(H257,FIND("/",H257)+1,99)))</f>
        <v/>
      </c>
      <c r="J257" s="4" t="inlineStr">
        <is>
          <t>Exact sardine variant/weight unclear</t>
        </is>
      </c>
      <c r="K257" s="0" t="str"/>
      <c r="L257" s="0" t="inlineStr">
        <is>
          <t>IMG_7056.HEIC</t>
        </is>
      </c>
    </row>
    <row r="258">
      <c r="A258" s="4" t="n">
        <v>253</v>
      </c>
      <c r="B258" s="6" t="inlineStr">
        <is>
          <t>Food Nation</t>
        </is>
      </c>
      <c r="C258" s="6" t="inlineStr">
        <is>
          <t>Food Nation Apple Spread</t>
        </is>
      </c>
      <c r="D258" s="4" t="n">
        <v>34</v>
      </c>
      <c r="E258" s="4" t="inlineStr">
        <is>
          <t>Groceries</t>
        </is>
      </c>
      <c r="F258" s="4" t="inlineStr">
        <is>
          <t>Condiments</t>
        </is>
      </c>
      <c r="G258" s="4" t="inlineStr">
        <is>
          <t>285G</t>
        </is>
      </c>
      <c r="H258" s="4" t="n"/>
      <c r="I258" s="4">
        <f>IF(H258="","",VALUE(LEFT(H258,FIND("/",H258)-1))/VALUE(MID(H258,FIND("/",H258)+1,99)))</f>
        <v/>
      </c>
      <c r="J258" s="4" t="n"/>
      <c r="K258" s="0" t="inlineStr">
        <is>
          <t>https://www.pns.hk/en/search?text=APPLE%20SPREAD</t>
        </is>
      </c>
      <c r="L258" s="0" t="inlineStr">
        <is>
          <t>IMG_7056.HEIC</t>
        </is>
      </c>
    </row>
    <row r="259">
      <c r="A259" s="4" t="n">
        <v>254</v>
      </c>
      <c r="B259" s="6" t="inlineStr">
        <is>
          <t>Food Nation</t>
        </is>
      </c>
      <c r="C259" s="6" t="inlineStr">
        <is>
          <t>Food Nation Raspberry Spread</t>
        </is>
      </c>
      <c r="D259" s="4" t="n">
        <v>34</v>
      </c>
      <c r="E259" s="4" t="inlineStr">
        <is>
          <t>Groceries</t>
        </is>
      </c>
      <c r="F259" s="4" t="inlineStr">
        <is>
          <t>Condiments</t>
        </is>
      </c>
      <c r="G259" s="4" t="inlineStr">
        <is>
          <t>285G</t>
        </is>
      </c>
      <c r="H259" s="4" t="n"/>
      <c r="I259" s="4">
        <f>IF(H259="","",VALUE(LEFT(H259,FIND("/",H259)-1))/VALUE(MID(H259,FIND("/",H259)+1,99)))</f>
        <v/>
      </c>
      <c r="J259" s="4" t="n"/>
      <c r="K259" s="0" t="inlineStr">
        <is>
          <t>https://www.pns.hk/en/search?text=RASPBERRY%20SPREAD</t>
        </is>
      </c>
      <c r="L259" s="0" t="inlineStr">
        <is>
          <t>IMG_7056.HEIC</t>
        </is>
      </c>
    </row>
    <row r="260">
      <c r="A260" s="4" t="n">
        <v>255</v>
      </c>
      <c r="B260" s="6" t="inlineStr">
        <is>
          <t>Food Nation</t>
        </is>
      </c>
      <c r="C260" s="6" t="inlineStr">
        <is>
          <t>Food Nation Strawberry Spread</t>
        </is>
      </c>
      <c r="D260" s="4" t="n">
        <v>34</v>
      </c>
      <c r="E260" s="4" t="inlineStr">
        <is>
          <t>Groceries</t>
        </is>
      </c>
      <c r="F260" s="4" t="inlineStr">
        <is>
          <t>Condiments</t>
        </is>
      </c>
      <c r="G260" s="4" t="inlineStr">
        <is>
          <t>285G</t>
        </is>
      </c>
      <c r="H260" s="4" t="n"/>
      <c r="I260" s="4">
        <f>IF(H260="","",VALUE(LEFT(H260,FIND("/",H260)-1))/VALUE(MID(H260,FIND("/",H260)+1,99)))</f>
        <v/>
      </c>
      <c r="J260" s="4" t="n"/>
      <c r="K260" s="0" t="inlineStr">
        <is>
          <t>https://www.pns.hk/en/search?text=STRAWBERRY%20SPREAD</t>
        </is>
      </c>
      <c r="L260" s="0" t="inlineStr">
        <is>
          <t>IMG_7056.HEIC</t>
        </is>
      </c>
    </row>
    <row r="261">
      <c r="A261" s="4" t="n">
        <v>256</v>
      </c>
      <c r="B261" s="6" t="inlineStr">
        <is>
          <t>Food Nation</t>
        </is>
      </c>
      <c r="C261" s="6" t="inlineStr">
        <is>
          <t>Food Nation Blueberry Spread</t>
        </is>
      </c>
      <c r="D261" s="4" t="n">
        <v>34</v>
      </c>
      <c r="E261" s="4" t="inlineStr">
        <is>
          <t>Groceries</t>
        </is>
      </c>
      <c r="F261" s="4" t="inlineStr">
        <is>
          <t>Condiments</t>
        </is>
      </c>
      <c r="G261" s="4" t="inlineStr">
        <is>
          <t>285G</t>
        </is>
      </c>
      <c r="H261" s="4" t="n"/>
      <c r="I261" s="4">
        <f>IF(H261="","",VALUE(LEFT(H261,FIND("/",H261)-1))/VALUE(MID(H261,FIND("/",H261)+1,99)))</f>
        <v/>
      </c>
      <c r="J261" s="4" t="n"/>
      <c r="K261" s="0" t="inlineStr">
        <is>
          <t>https://www.pns.hk/en/search?text=BLUEBERRY%20SPREAD</t>
        </is>
      </c>
      <c r="L261" s="0" t="inlineStr">
        <is>
          <t>IMG_7056.HEIC</t>
        </is>
      </c>
    </row>
    <row r="262">
      <c r="A262" s="4" t="n">
        <v>257</v>
      </c>
      <c r="B262" s="6" t="inlineStr">
        <is>
          <t>St. Dalfour</t>
        </is>
      </c>
      <c r="C262" s="6" t="inlineStr">
        <is>
          <t>St. Dalfour Strawberry Spread</t>
        </is>
      </c>
      <c r="D262" s="4" t="n">
        <v>52</v>
      </c>
      <c r="E262" s="4" t="inlineStr">
        <is>
          <t>Groceries</t>
        </is>
      </c>
      <c r="F262" s="4" t="inlineStr">
        <is>
          <t>Condiments</t>
        </is>
      </c>
      <c r="G262" s="4" t="inlineStr">
        <is>
          <t>284G</t>
        </is>
      </c>
      <c r="H262" s="4" t="n"/>
      <c r="I262" s="4">
        <f>IF(H262="","",VALUE(LEFT(H262,FIND("/",H262)-1))/VALUE(MID(H262,FIND("/",H262)+1,99)))</f>
        <v/>
      </c>
      <c r="J262" s="4" t="inlineStr">
        <is>
          <t>Price/product association checked from image</t>
        </is>
      </c>
      <c r="K262" s="0" t="inlineStr">
        <is>
          <t>https://www.pns.hk/en/breakfast-bakery-jam/honey/c/010301</t>
        </is>
      </c>
      <c r="L262" s="0" t="inlineStr">
        <is>
          <t>IMG_7056.HEIC</t>
        </is>
      </c>
    </row>
    <row r="263">
      <c r="A263" s="4" t="n">
        <v>258</v>
      </c>
      <c r="B263" s="6" t="inlineStr">
        <is>
          <t>Bonne Maman</t>
        </is>
      </c>
      <c r="C263" s="6" t="inlineStr">
        <is>
          <t>Bonne Maman Strawberry Jam</t>
        </is>
      </c>
      <c r="D263" s="4" t="n">
        <v>29</v>
      </c>
      <c r="E263" s="4" t="inlineStr">
        <is>
          <t>Groceries</t>
        </is>
      </c>
      <c r="F263" s="4" t="inlineStr">
        <is>
          <t>Condiments</t>
        </is>
      </c>
      <c r="G263" s="4" t="inlineStr">
        <is>
          <t>225G</t>
        </is>
      </c>
      <c r="H263" s="4" t="n"/>
      <c r="I263" s="4">
        <f>IF(H263="","",VALUE(LEFT(H263,FIND("/",H263)-1))/VALUE(MID(H263,FIND("/",H263)+1,99)))</f>
        <v/>
      </c>
      <c r="J263" s="4" t="n"/>
      <c r="K263" s="0" t="inlineStr">
        <is>
          <t>https://www.pns.hk/en/all-brands/b/102541/bonne-maman</t>
        </is>
      </c>
      <c r="L263" s="0" t="inlineStr">
        <is>
          <t>IMG_7056.HEIC</t>
        </is>
      </c>
    </row>
    <row r="264">
      <c r="A264" s="4" t="n">
        <v>259</v>
      </c>
      <c r="B264" s="6" t="inlineStr">
        <is>
          <t>Bonne Maman</t>
        </is>
      </c>
      <c r="C264" s="6" t="inlineStr">
        <is>
          <t>Bonne Maman Wild Blueberry Preserves</t>
        </is>
      </c>
      <c r="D264" s="4" t="n">
        <v>29</v>
      </c>
      <c r="E264" s="4" t="inlineStr">
        <is>
          <t>Groceries</t>
        </is>
      </c>
      <c r="F264" s="4" t="inlineStr">
        <is>
          <t>Condiments</t>
        </is>
      </c>
      <c r="G264" s="4" t="inlineStr">
        <is>
          <t>225G</t>
        </is>
      </c>
      <c r="H264" s="4" t="n"/>
      <c r="I264" s="4">
        <f>IF(H264="","",VALUE(LEFT(H264,FIND("/",H264)-1))/VALUE(MID(H264,FIND("/",H264)+1,99)))</f>
        <v/>
      </c>
      <c r="J264" s="4" t="n"/>
      <c r="K264" s="0" t="inlineStr">
        <is>
          <t>https://www.pns.hk/en/all-brands/b/102541/bonne-maman</t>
        </is>
      </c>
      <c r="L264" s="0" t="inlineStr">
        <is>
          <t>IMG_7056.HEIC</t>
        </is>
      </c>
    </row>
    <row r="265">
      <c r="A265" s="4" t="n">
        <v>260</v>
      </c>
      <c r="B265" s="6" t="inlineStr">
        <is>
          <t>Bonne Maman</t>
        </is>
      </c>
      <c r="C265" s="6" t="inlineStr">
        <is>
          <t>Bonne Maman Strawberry Jam</t>
        </is>
      </c>
      <c r="D265" s="4" t="n">
        <v>42</v>
      </c>
      <c r="E265" s="4" t="inlineStr">
        <is>
          <t>Groceries</t>
        </is>
      </c>
      <c r="F265" s="4" t="inlineStr">
        <is>
          <t>Condiments</t>
        </is>
      </c>
      <c r="G265" s="4" t="inlineStr">
        <is>
          <t>370G</t>
        </is>
      </c>
      <c r="H265" s="4" t="n"/>
      <c r="I265" s="4">
        <f>IF(H265="","",VALUE(LEFT(H265,FIND("/",H265)-1))/VALUE(MID(H265,FIND("/",H265)+1,99)))</f>
        <v/>
      </c>
      <c r="J265" s="4" t="inlineStr">
        <is>
          <t>Member price shown as HK$30.0</t>
        </is>
      </c>
      <c r="K265" s="0" t="inlineStr">
        <is>
          <t>https://www.pns.hk/en/all-brands/b/102541/bonne-maman</t>
        </is>
      </c>
      <c r="L265" s="0" t="inlineStr">
        <is>
          <t>IMG_7056.HEIC</t>
        </is>
      </c>
    </row>
    <row r="266">
      <c r="A266" s="4" t="n">
        <v>261</v>
      </c>
      <c r="B266" s="6" t="inlineStr">
        <is>
          <t>Bonne Maman</t>
        </is>
      </c>
      <c r="C266" s="6" t="inlineStr">
        <is>
          <t>Bonne Maman Wild Blueberry Preserves</t>
        </is>
      </c>
      <c r="D266" s="4" t="n">
        <v>42</v>
      </c>
      <c r="E266" s="4" t="inlineStr">
        <is>
          <t>Groceries</t>
        </is>
      </c>
      <c r="F266" s="4" t="inlineStr">
        <is>
          <t>Condiments</t>
        </is>
      </c>
      <c r="G266" s="4" t="inlineStr">
        <is>
          <t>370G</t>
        </is>
      </c>
      <c r="H266" s="4" t="n"/>
      <c r="I266" s="4">
        <f>IF(H266="","",VALUE(LEFT(H266,FIND("/",H266)-1))/VALUE(MID(H266,FIND("/",H266)+1,99)))</f>
        <v/>
      </c>
      <c r="J266" s="4" t="inlineStr">
        <is>
          <t>Member price shown as HK$30.0</t>
        </is>
      </c>
      <c r="K266" s="0" t="inlineStr">
        <is>
          <t>https://www.pns.hk/en/all-brands/b/102541/bonne-maman</t>
        </is>
      </c>
      <c r="L266" s="0" t="inlineStr">
        <is>
          <t>IMG_7056.HEIC</t>
        </is>
      </c>
    </row>
    <row r="267">
      <c r="A267" s="4" t="n">
        <v>262</v>
      </c>
      <c r="B267" s="6" t="inlineStr">
        <is>
          <t>Unknown</t>
        </is>
      </c>
      <c r="C267" s="6" t="inlineStr">
        <is>
          <t>Unknown snack/spread product</t>
        </is>
      </c>
      <c r="D267" s="4" t="n">
        <v>20</v>
      </c>
      <c r="E267" s="4" t="inlineStr">
        <is>
          <t>Groceries</t>
        </is>
      </c>
      <c r="F267" s="4" t="inlineStr">
        <is>
          <t>Snacks</t>
        </is>
      </c>
      <c r="G267" s="4" t="inlineStr">
        <is>
          <t>Unknown</t>
        </is>
      </c>
      <c r="H267" s="4" t="n"/>
      <c r="I267" s="4">
        <f>IF(H267="","",VALUE(LEFT(H267,FIND("/",H267)-1))/VALUE(MID(H267,FIND("/",H267)+1,99)))</f>
        <v/>
      </c>
      <c r="J267" s="4" t="inlineStr">
        <is>
          <t>Brand and exact product identity unclear from IMG_7056</t>
        </is>
      </c>
      <c r="K267" s="0" t="str"/>
      <c r="L267" s="0" t="inlineStr">
        <is>
          <t>IMG_7056.HEIC</t>
        </is>
      </c>
    </row>
    <row r="268">
      <c r="A268" s="4" t="n">
        <v>263</v>
      </c>
      <c r="B268" s="6" t="inlineStr">
        <is>
          <t>Skippy</t>
        </is>
      </c>
      <c r="C268" s="6" t="inlineStr">
        <is>
          <t>Skippy Peanut Butter (small jar; exact variant unclear)</t>
        </is>
      </c>
      <c r="D268" s="4" t="n">
        <v>19</v>
      </c>
      <c r="E268" s="4" t="inlineStr">
        <is>
          <t>Groceries</t>
        </is>
      </c>
      <c r="F268" s="4" t="inlineStr">
        <is>
          <t>Condiments</t>
        </is>
      </c>
      <c r="G268" s="4" t="inlineStr">
        <is>
          <t>Unknown</t>
        </is>
      </c>
      <c r="H268" s="4" t="n"/>
      <c r="I268" s="4">
        <f>IF(H268="","",VALUE(LEFT(H268,FIND("/",H268)-1))/VALUE(MID(H268,FIND("/",H268)+1,99)))</f>
        <v/>
      </c>
      <c r="J268" s="4" t="inlineStr">
        <is>
          <t>Small Skippy jar(s) visible; exact variant and net weight not readable from IMG_7057</t>
        </is>
      </c>
      <c r="K268" s="0" t="inlineStr">
        <is>
          <t>https://www.pns.hk/en/all-brands/b/119520/skippy</t>
        </is>
      </c>
      <c r="L268" s="0" t="inlineStr">
        <is>
          <t>IMG_7057.HEIC</t>
        </is>
      </c>
    </row>
    <row r="269">
      <c r="A269" s="4" t="n">
        <v>264</v>
      </c>
      <c r="B269" s="6" t="inlineStr">
        <is>
          <t>Skippy</t>
        </is>
      </c>
      <c r="C269" s="6" t="inlineStr">
        <is>
          <t>Skippy Peanut Butter Creamy</t>
        </is>
      </c>
      <c r="D269" s="4" t="n">
        <v>36</v>
      </c>
      <c r="E269" s="4" t="inlineStr">
        <is>
          <t>Groceries</t>
        </is>
      </c>
      <c r="F269" s="4" t="inlineStr">
        <is>
          <t>Condiments</t>
        </is>
      </c>
      <c r="G269" s="4" t="inlineStr">
        <is>
          <t>340G</t>
        </is>
      </c>
      <c r="H269" s="4" t="n"/>
      <c r="I269" s="4">
        <f>IF(H269="","",VALUE(LEFT(H269,FIND("/",H269)-1))/VALUE(MID(H269,FIND("/",H269)+1,99)))</f>
        <v/>
      </c>
      <c r="J269" s="4" t="inlineStr">
        <is>
          <t>Price/product association checked from shelf label</t>
        </is>
      </c>
      <c r="K269" s="0" t="inlineStr">
        <is>
          <t>https://www.pns.hk/en/all-brands/b/119520/skippy</t>
        </is>
      </c>
      <c r="L269" s="0" t="inlineStr">
        <is>
          <t>IMG_7057.HEIC</t>
        </is>
      </c>
    </row>
    <row r="270">
      <c r="A270" s="4" t="n">
        <v>265</v>
      </c>
      <c r="B270" s="6" t="inlineStr">
        <is>
          <t>Skippy</t>
        </is>
      </c>
      <c r="C270" s="6" t="inlineStr">
        <is>
          <t>Skippy Peanut Butter Chunky</t>
        </is>
      </c>
      <c r="D270" s="4" t="n">
        <v>36</v>
      </c>
      <c r="E270" s="4" t="inlineStr">
        <is>
          <t>Groceries</t>
        </is>
      </c>
      <c r="F270" s="4" t="inlineStr">
        <is>
          <t>Condiments</t>
        </is>
      </c>
      <c r="G270" s="4" t="inlineStr">
        <is>
          <t>340G</t>
        </is>
      </c>
      <c r="H270" s="4" t="n"/>
      <c r="I270" s="4">
        <f>IF(H270="","",VALUE(LEFT(H270,FIND("/",H270)-1))/VALUE(MID(H270,FIND("/",H270)+1,99)))</f>
        <v/>
      </c>
      <c r="J270" s="4" t="inlineStr">
        <is>
          <t>Variant inferred from package; price/product association checked from shelf label</t>
        </is>
      </c>
      <c r="K270" s="0" t="inlineStr">
        <is>
          <t>https://www.pns.hk/en/all-brands/b/119520/skippy</t>
        </is>
      </c>
      <c r="L270" s="0" t="inlineStr">
        <is>
          <t>IMG_7057.HEIC</t>
        </is>
      </c>
    </row>
    <row r="271">
      <c r="A271" s="4" t="n">
        <v>266</v>
      </c>
      <c r="B271" s="6" t="inlineStr">
        <is>
          <t>Skippy</t>
        </is>
      </c>
      <c r="C271" s="6" t="inlineStr">
        <is>
          <t>Skippy Peanut Butter W/ Choc Stripe</t>
        </is>
      </c>
      <c r="D271" s="4" t="n">
        <v>31</v>
      </c>
      <c r="E271" s="4" t="inlineStr">
        <is>
          <t>Groceries</t>
        </is>
      </c>
      <c r="F271" s="4" t="inlineStr">
        <is>
          <t>Condiments</t>
        </is>
      </c>
      <c r="G271" s="4" t="inlineStr">
        <is>
          <t>340G</t>
        </is>
      </c>
      <c r="H271" s="4" t="n"/>
      <c r="I271" s="4">
        <f>IF(H271="","",VALUE(LEFT(H271,FIND("/",H271)-1))/VALUE(MID(H271,FIND("/",H271)+1,99)))</f>
        <v/>
      </c>
      <c r="J271" s="4" t="inlineStr">
        <is>
          <t>Variant identified from brown-lid/chocolate-stripe packaging</t>
        </is>
      </c>
      <c r="K271" s="0" t="inlineStr">
        <is>
          <t>https://www.pns.hk/en/all-brands/b/119520/skippy</t>
        </is>
      </c>
      <c r="L271" s="0" t="inlineStr">
        <is>
          <t>IMG_7057.HEIC</t>
        </is>
      </c>
    </row>
    <row r="272">
      <c r="A272" s="4" t="n">
        <v>267</v>
      </c>
      <c r="B272" s="6" t="inlineStr">
        <is>
          <t>Skippy</t>
        </is>
      </c>
      <c r="C272" s="6" t="inlineStr">
        <is>
          <t>Skippy Peanut Butter Creamy</t>
        </is>
      </c>
      <c r="D272" s="4" t="n">
        <v>44</v>
      </c>
      <c r="E272" s="4" t="inlineStr">
        <is>
          <t>Groceries</t>
        </is>
      </c>
      <c r="F272" s="4" t="inlineStr">
        <is>
          <t>Condiments</t>
        </is>
      </c>
      <c r="G272" s="4" t="inlineStr">
        <is>
          <t>510G</t>
        </is>
      </c>
      <c r="H272" s="4" t="n"/>
      <c r="I272" s="4">
        <f>IF(H272="","",VALUE(LEFT(H272,FIND("/",H272)-1))/VALUE(MID(H272,FIND("/",H272)+1,99)))</f>
        <v/>
      </c>
      <c r="J272" s="4" t="inlineStr">
        <is>
          <t>Price/product association checked from shelf label</t>
        </is>
      </c>
      <c r="K272" s="0" t="inlineStr">
        <is>
          <t>https://www.pns.hk/en/all-brands/b/119520/skippy</t>
        </is>
      </c>
      <c r="L272" s="0" t="inlineStr">
        <is>
          <t>IMG_7057.HEIC</t>
        </is>
      </c>
    </row>
    <row r="273">
      <c r="A273" s="4" t="n">
        <v>268</v>
      </c>
      <c r="B273" s="6" t="inlineStr">
        <is>
          <t>Skippy</t>
        </is>
      </c>
      <c r="C273" s="6" t="inlineStr">
        <is>
          <t>Skippy Peanut Butter Chunky</t>
        </is>
      </c>
      <c r="D273" s="4" t="n">
        <v>44</v>
      </c>
      <c r="E273" s="4" t="inlineStr">
        <is>
          <t>Groceries</t>
        </is>
      </c>
      <c r="F273" s="4" t="inlineStr">
        <is>
          <t>Condiments</t>
        </is>
      </c>
      <c r="G273" s="4" t="inlineStr">
        <is>
          <t>510G</t>
        </is>
      </c>
      <c r="H273" s="4" t="n"/>
      <c r="I273" s="4">
        <f>IF(H273="","",VALUE(LEFT(H273,FIND("/",H273)-1))/VALUE(MID(H273,FIND("/",H273)+1,99)))</f>
        <v/>
      </c>
      <c r="J273" s="4" t="inlineStr">
        <is>
          <t>Price/product association checked from shelf label</t>
        </is>
      </c>
      <c r="K273" s="0" t="inlineStr">
        <is>
          <t>https://www.pns.hk/en/all-brands/b/119520/skippy</t>
        </is>
      </c>
      <c r="L273" s="0" t="inlineStr">
        <is>
          <t>IMG_7057.HEIC</t>
        </is>
      </c>
    </row>
    <row r="274">
      <c r="A274" s="4" t="n">
        <v>269</v>
      </c>
      <c r="B274" s="6" t="inlineStr">
        <is>
          <t>Skippy</t>
        </is>
      </c>
      <c r="C274" s="6" t="inlineStr">
        <is>
          <t>Skippy Peanut Butter Super Chunk</t>
        </is>
      </c>
      <c r="D274" s="4" t="n">
        <v>31</v>
      </c>
      <c r="E274" s="4" t="inlineStr">
        <is>
          <t>Groceries</t>
        </is>
      </c>
      <c r="F274" s="4" t="inlineStr">
        <is>
          <t>Condiments</t>
        </is>
      </c>
      <c r="G274" s="4" t="inlineStr">
        <is>
          <t>462G</t>
        </is>
      </c>
      <c r="H274" s="4" t="n"/>
      <c r="I274" s="4">
        <f>IF(H274="","",VALUE(LEFT(H274,FIND("/",H274)-1))/VALUE(MID(H274,FIND("/",H274)+1,99)))</f>
        <v/>
      </c>
      <c r="J274" s="4" t="inlineStr">
        <is>
          <t>Variant/size read from shelf label and matching package</t>
        </is>
      </c>
      <c r="K274" s="0" t="inlineStr">
        <is>
          <t>https://www.pns.hk/en/all-brands/b/119520/skippy</t>
        </is>
      </c>
      <c r="L274" s="0" t="inlineStr">
        <is>
          <t>IMG_7057.HEIC</t>
        </is>
      </c>
    </row>
    <row r="275">
      <c r="A275" s="4" t="n">
        <v>270</v>
      </c>
      <c r="B275" s="6" t="inlineStr">
        <is>
          <t>KARA</t>
        </is>
      </c>
      <c r="C275" s="6" t="inlineStr">
        <is>
          <t>KARA Coconut Cream</t>
        </is>
      </c>
      <c r="D275" s="4" t="n">
        <v>12.5</v>
      </c>
      <c r="E275" s="4" t="inlineStr">
        <is>
          <t>Groceries</t>
        </is>
      </c>
      <c r="F275" s="4" t="inlineStr">
        <is>
          <t>Condiments</t>
        </is>
      </c>
      <c r="G275" s="4" t="inlineStr">
        <is>
          <t>200ML</t>
        </is>
      </c>
      <c r="H275" s="4" t="n"/>
      <c r="I275" s="4">
        <f>IF(H275="","",VALUE(LEFT(H275,FIND("/",H275)-1))/VALUE(MID(H275,FIND("/",H275)+1,99)))</f>
        <v/>
      </c>
      <c r="J275" s="4" t="inlineStr">
        <is>
          <t>Discounted; OP = 15.0</t>
        </is>
      </c>
      <c r="K275" s="0" t="inlineStr">
        <is>
          <t>https://www.pns.hk/en/coconut-cream/p/BP_170045</t>
        </is>
      </c>
      <c r="L275" s="0" t="inlineStr">
        <is>
          <t>IMG_7057.HEIC</t>
        </is>
      </c>
    </row>
    <row r="276">
      <c r="A276" s="4" t="n">
        <v>271</v>
      </c>
      <c r="B276" s="6" t="inlineStr">
        <is>
          <t>Nutella</t>
        </is>
      </c>
      <c r="C276" s="6" t="inlineStr">
        <is>
          <t>Nutella Hazelnut Spread With Cocoa</t>
        </is>
      </c>
      <c r="D276" s="4" t="n">
        <v>50</v>
      </c>
      <c r="E276" s="4" t="inlineStr">
        <is>
          <t>Groceries</t>
        </is>
      </c>
      <c r="F276" s="4" t="inlineStr">
        <is>
          <t>Condiments</t>
        </is>
      </c>
      <c r="G276" s="4" t="inlineStr">
        <is>
          <t>350G</t>
        </is>
      </c>
      <c r="H276" s="4" t="n"/>
      <c r="I276" s="4">
        <f>IF(H276="","",VALUE(LEFT(H276,FIND("/",H276)-1))/VALUE(MID(H276,FIND("/",H276)+1,99)))</f>
        <v/>
      </c>
      <c r="J276" s="4" t="n"/>
      <c r="K276" s="0" t="inlineStr">
        <is>
          <t>https://www.pns.hk/en/food-beverages/jam-spread/c/04110302</t>
        </is>
      </c>
      <c r="L276" s="0" t="inlineStr">
        <is>
          <t>IMG_7057.HEIC</t>
        </is>
      </c>
    </row>
    <row r="277">
      <c r="A277" s="4" t="n">
        <v>272</v>
      </c>
      <c r="B277" s="6" t="inlineStr">
        <is>
          <t>Select</t>
        </is>
      </c>
      <c r="C277" s="6" t="inlineStr">
        <is>
          <t>Select Grass Jelly</t>
        </is>
      </c>
      <c r="D277" s="4" t="n">
        <v>12.5</v>
      </c>
      <c r="E277" s="4" t="inlineStr">
        <is>
          <t>Groceries</t>
        </is>
      </c>
      <c r="F277" s="4" t="inlineStr">
        <is>
          <t>Confectionary</t>
        </is>
      </c>
      <c r="G277" s="4" t="inlineStr">
        <is>
          <t>530G</t>
        </is>
      </c>
      <c r="H277" s="4" t="n"/>
      <c r="I277" s="4">
        <f>IF(H277="","",VALUE(LEFT(H277,FIND("/",H277)-1))/VALUE(MID(H277,FIND("/",H277)+1,99)))</f>
        <v/>
      </c>
      <c r="J277" s="4" t="inlineStr">
        <is>
          <t>Discounted; OP = 16.9; 9折 sticker visible</t>
        </is>
      </c>
      <c r="K277" s="0" t="inlineStr">
        <is>
          <t>https://www.pns.hk/en/grass-jelly/p/BP_119660</t>
        </is>
      </c>
      <c r="L277" s="0" t="inlineStr">
        <is>
          <t>IMG_7057.HEIC</t>
        </is>
      </c>
    </row>
    <row r="278">
      <c r="A278" s="4" t="n">
        <v>273</v>
      </c>
      <c r="B278" s="6" t="inlineStr">
        <is>
          <t>Robertsons</t>
        </is>
      </c>
      <c r="C278" s="6" t="inlineStr">
        <is>
          <t>Robertsons Jelly Powder Pineapple Flavour</t>
        </is>
      </c>
      <c r="D278" s="4" t="n">
        <v>10</v>
      </c>
      <c r="E278" s="4" t="inlineStr">
        <is>
          <t>Groceries</t>
        </is>
      </c>
      <c r="F278" s="4" t="inlineStr">
        <is>
          <t>Confectionary</t>
        </is>
      </c>
      <c r="G278" s="4" t="inlineStr">
        <is>
          <t>80G</t>
        </is>
      </c>
      <c r="H278" s="4" t="n"/>
      <c r="I278" s="4">
        <f>IF(H278="","",VALUE(LEFT(H278,FIND("/",H278)-1))/VALUE(MID(H278,FIND("/",H278)+1,99)))</f>
        <v/>
      </c>
      <c r="J278" s="4" t="n"/>
      <c r="K278" s="0" t="inlineStr">
        <is>
          <t>https://www.pns.hk/en/search?text=ROBERTSONS%20JELLY%20POWDER%20PINEAPPLE</t>
        </is>
      </c>
      <c r="L278" s="0" t="inlineStr">
        <is>
          <t>IMG_7057.HEIC</t>
        </is>
      </c>
    </row>
    <row r="279">
      <c r="A279" s="4" t="n">
        <v>274</v>
      </c>
      <c r="B279" s="6" t="inlineStr">
        <is>
          <t>Robertsons</t>
        </is>
      </c>
      <c r="C279" s="6" t="inlineStr">
        <is>
          <t>Robertsons Jelly Powder Mango Flavour</t>
        </is>
      </c>
      <c r="D279" s="4" t="n">
        <v>10</v>
      </c>
      <c r="E279" s="4" t="inlineStr">
        <is>
          <t>Groceries</t>
        </is>
      </c>
      <c r="F279" s="4" t="inlineStr">
        <is>
          <t>Confectionary</t>
        </is>
      </c>
      <c r="G279" s="4" t="inlineStr">
        <is>
          <t>80G</t>
        </is>
      </c>
      <c r="H279" s="4" t="n"/>
      <c r="I279" s="4">
        <f>IF(H279="","",VALUE(LEFT(H279,FIND("/",H279)-1))/VALUE(MID(H279,FIND("/",H279)+1,99)))</f>
        <v/>
      </c>
      <c r="J279" s="4" t="n"/>
      <c r="K279" s="0" t="inlineStr">
        <is>
          <t>https://www.pns.hk/en/jelly-powder-mango-flavour/p/BP_117406</t>
        </is>
      </c>
      <c r="L279" s="0" t="inlineStr">
        <is>
          <t>IMG_7057.HEIC</t>
        </is>
      </c>
    </row>
    <row r="280">
      <c r="A280" s="4" t="n">
        <v>275</v>
      </c>
      <c r="B280" s="6" t="inlineStr">
        <is>
          <t>Robertsons</t>
        </is>
      </c>
      <c r="C280" s="6" t="inlineStr">
        <is>
          <t>Robertsons Jelly Powder Strawberry Flavour</t>
        </is>
      </c>
      <c r="D280" s="4" t="n">
        <v>10</v>
      </c>
      <c r="E280" s="4" t="inlineStr">
        <is>
          <t>Groceries</t>
        </is>
      </c>
      <c r="F280" s="4" t="inlineStr">
        <is>
          <t>Confectionary</t>
        </is>
      </c>
      <c r="G280" s="4" t="inlineStr">
        <is>
          <t>80G</t>
        </is>
      </c>
      <c r="H280" s="4" t="n"/>
      <c r="I280" s="4">
        <f>IF(H280="","",VALUE(LEFT(H280,FIND("/",H280)-1))/VALUE(MID(H280,FIND("/",H280)+1,99)))</f>
        <v/>
      </c>
      <c r="J280" s="4" t="n"/>
      <c r="K280" s="0" t="inlineStr">
        <is>
          <t>https://www.pns.hk/en/search?text=ROBERTSONS%20JELLY%20POWDER%20STRAWBERRY</t>
        </is>
      </c>
      <c r="L280" s="0" t="inlineStr">
        <is>
          <t>IMG_7057.HEIC</t>
        </is>
      </c>
    </row>
    <row r="281">
      <c r="A281" s="4" t="n">
        <v>276</v>
      </c>
      <c r="B281" s="6" t="inlineStr">
        <is>
          <t>Nissin</t>
        </is>
      </c>
      <c r="C281" s="6" t="inlineStr">
        <is>
          <t>Nissin Retort Pouch Red Bean W Lotus Seeds Dessert</t>
        </is>
      </c>
      <c r="D281" s="4" t="n">
        <v>18</v>
      </c>
      <c r="E281" s="4" t="inlineStr">
        <is>
          <t>Groceries</t>
        </is>
      </c>
      <c r="F281" s="4" t="inlineStr">
        <is>
          <t>Confectionary</t>
        </is>
      </c>
      <c r="G281" s="4" t="inlineStr">
        <is>
          <t>2x220G</t>
        </is>
      </c>
      <c r="H281" s="4" t="n"/>
      <c r="I281" s="4">
        <f>IF(H281="","",VALUE(LEFT(H281,FIND("/",H281)-1))/VALUE(MID(H281,FIND("/",H281)+1,99)))</f>
        <v/>
      </c>
      <c r="J281" s="4" t="n"/>
      <c r="K281" s="0" t="inlineStr">
        <is>
          <t>https://www.pns.hk/en/red-bean-w-lotus-seeds-dessert/p/BP_171100</t>
        </is>
      </c>
      <c r="L281" s="0" t="inlineStr">
        <is>
          <t>IMG_7057.HEIC</t>
        </is>
      </c>
    </row>
    <row r="282">
      <c r="A282" s="4" t="n">
        <v>277</v>
      </c>
      <c r="B282" s="6" t="inlineStr">
        <is>
          <t>Nissin</t>
        </is>
      </c>
      <c r="C282" s="6" t="inlineStr">
        <is>
          <t>Nissin Retort Pouch Cha Cha Dessert</t>
        </is>
      </c>
      <c r="D282" s="4" t="n">
        <v>18</v>
      </c>
      <c r="E282" s="4" t="inlineStr">
        <is>
          <t>Groceries</t>
        </is>
      </c>
      <c r="F282" s="4" t="inlineStr">
        <is>
          <t>Confectionary</t>
        </is>
      </c>
      <c r="G282" s="4" t="inlineStr">
        <is>
          <t>2x220G</t>
        </is>
      </c>
      <c r="H282" s="4" t="n"/>
      <c r="I282" s="4">
        <f>IF(H282="","",VALUE(LEFT(H282,FIND("/",H282)-1))/VALUE(MID(H282,FIND("/",H282)+1,99)))</f>
        <v/>
      </c>
      <c r="J282" s="4" t="n"/>
      <c r="K282" s="0" t="inlineStr">
        <is>
          <t>https://www.pns.hk/en/cha-cha-dessert/p/BP_171095</t>
        </is>
      </c>
      <c r="L282" s="0" t="inlineStr">
        <is>
          <t>IMG_7057.HEIC</t>
        </is>
      </c>
    </row>
    <row r="283">
      <c r="A283" s="4" t="n">
        <v>278</v>
      </c>
      <c r="B283" s="6" t="inlineStr">
        <is>
          <t>Nissin</t>
        </is>
      </c>
      <c r="C283" s="6" t="inlineStr">
        <is>
          <t>Nissin Retort Pouch Black Sesame Dessert</t>
        </is>
      </c>
      <c r="D283" s="4" t="n">
        <v>18</v>
      </c>
      <c r="E283" s="4" t="inlineStr">
        <is>
          <t>Groceries</t>
        </is>
      </c>
      <c r="F283" s="4" t="inlineStr">
        <is>
          <t>Confectionary</t>
        </is>
      </c>
      <c r="G283" s="4" t="inlineStr">
        <is>
          <t>2x220G</t>
        </is>
      </c>
      <c r="H283" s="4" t="n"/>
      <c r="I283" s="4">
        <f>IF(H283="","",VALUE(LEFT(H283,FIND("/",H283)-1))/VALUE(MID(H283,FIND("/",H283)+1,99)))</f>
        <v/>
      </c>
      <c r="J283" s="4" t="n"/>
      <c r="K283" s="0" t="inlineStr">
        <is>
          <t>https://www.pns.hk/en/sweet-dessert-/c/sweet-dessert</t>
        </is>
      </c>
      <c r="L283" s="0" t="inlineStr">
        <is>
          <t>IMG_7057.HEIC</t>
        </is>
      </c>
    </row>
    <row r="284">
      <c r="A284" s="4" t="n">
        <v>279</v>
      </c>
      <c r="B284" s="6" t="inlineStr">
        <is>
          <t>Yue Zhuan</t>
        </is>
      </c>
      <c r="C284" s="6" t="inlineStr">
        <is>
          <t>Yue Zhuan Red Bean With Tangerine Peel &amp; Lotus Seeds Dessert</t>
        </is>
      </c>
      <c r="D284" s="4" t="n">
        <v>22</v>
      </c>
      <c r="E284" s="4" t="inlineStr">
        <is>
          <t>Groceries</t>
        </is>
      </c>
      <c r="F284" s="4" t="inlineStr">
        <is>
          <t>Confectionary</t>
        </is>
      </c>
      <c r="G284" s="4" t="inlineStr">
        <is>
          <t>220ML</t>
        </is>
      </c>
      <c r="H284" s="4" t="n"/>
      <c r="I284" s="4">
        <f>IF(H284="","",VALUE(LEFT(H284,FIND("/",H284)-1))/VALUE(MID(H284,FIND("/",H284)+1,99)))</f>
        <v/>
      </c>
      <c r="J284" s="4" t="n"/>
      <c r="K284" s="0" t="inlineStr">
        <is>
          <t>https://www.pns.hk/en/sweet-dessert-/c/sweet-dessert</t>
        </is>
      </c>
      <c r="L284" s="0" t="inlineStr">
        <is>
          <t>IMG_7057.HEIC</t>
        </is>
      </c>
    </row>
    <row r="285">
      <c r="A285" s="4" t="n">
        <v>280</v>
      </c>
      <c r="B285" s="6" t="inlineStr">
        <is>
          <t>Yue Zhuan</t>
        </is>
      </c>
      <c r="C285" s="6" t="inlineStr">
        <is>
          <t>Yue Zhuan Black Glutinous Rice With Taro &amp; Coconut Milk</t>
        </is>
      </c>
      <c r="D285" s="4" t="n">
        <v>22</v>
      </c>
      <c r="E285" s="4" t="inlineStr">
        <is>
          <t>Groceries</t>
        </is>
      </c>
      <c r="F285" s="4" t="inlineStr">
        <is>
          <t>Confectionary</t>
        </is>
      </c>
      <c r="G285" s="4" t="inlineStr">
        <is>
          <t>220ML</t>
        </is>
      </c>
      <c r="H285" s="4" t="n"/>
      <c r="I285" s="4">
        <f>IF(H285="","",VALUE(LEFT(H285,FIND("/",H285)-1))/VALUE(MID(H285,FIND("/",H285)+1,99)))</f>
        <v/>
      </c>
      <c r="J285" s="4" t="n"/>
      <c r="K285" s="0" t="inlineStr">
        <is>
          <t>https://www.pns.hk/en/sweet-dessert-/c/sweet-dessert</t>
        </is>
      </c>
      <c r="L285" s="0" t="inlineStr">
        <is>
          <t>IMG_7057.HEIC</t>
        </is>
      </c>
    </row>
    <row r="286">
      <c r="A286" s="4" t="n">
        <v>281</v>
      </c>
      <c r="B286" s="6" t="inlineStr">
        <is>
          <t>Yue Zhuan</t>
        </is>
      </c>
      <c r="C286" s="6" t="inlineStr">
        <is>
          <t>Yue Zhuan Ground Black Sesame Dessert</t>
        </is>
      </c>
      <c r="D286" s="4" t="n">
        <v>22</v>
      </c>
      <c r="E286" s="4" t="inlineStr">
        <is>
          <t>Groceries</t>
        </is>
      </c>
      <c r="F286" s="4" t="inlineStr">
        <is>
          <t>Confectionary</t>
        </is>
      </c>
      <c r="G286" s="4" t="inlineStr">
        <is>
          <t>220ML</t>
        </is>
      </c>
      <c r="H286" s="4" t="n"/>
      <c r="I286" s="4">
        <f>IF(H286="","",VALUE(LEFT(H286,FIND("/",H286)-1))/VALUE(MID(H286,FIND("/",H286)+1,99)))</f>
        <v/>
      </c>
      <c r="J286" s="4" t="n"/>
      <c r="K286" s="0" t="inlineStr">
        <is>
          <t>https://www.pns.hk/en/sweet-dessert-/c/sweet-dessert</t>
        </is>
      </c>
      <c r="L286" s="0" t="inlineStr">
        <is>
          <t>IMG_7057.HEIC</t>
        </is>
      </c>
    </row>
    <row r="287">
      <c r="A287" s="4" t="n">
        <v>282</v>
      </c>
      <c r="B287" s="6" t="inlineStr">
        <is>
          <t>Campbell's</t>
        </is>
      </c>
      <c r="C287" s="6" t="inlineStr">
        <is>
          <t>Campbell's Creamy Chicken Mushroom Soup</t>
        </is>
      </c>
      <c r="D287" s="4" t="n">
        <v>17</v>
      </c>
      <c r="E287" s="4" t="inlineStr">
        <is>
          <t>Groceries</t>
        </is>
      </c>
      <c r="F287" s="4" t="inlineStr">
        <is>
          <t>Canned Goods</t>
        </is>
      </c>
      <c r="G287" s="4" t="inlineStr">
        <is>
          <t>300G</t>
        </is>
      </c>
      <c r="H287" s="4" t="n"/>
      <c r="I287" s="4">
        <f>IF(H287="","",VALUE(LEFT(H287,FIND("/",H287)-1))/VALUE(MID(H287,FIND("/",H287)+1,99)))</f>
        <v/>
      </c>
      <c r="J287" s="4" t="n"/>
      <c r="K287" s="0" t="inlineStr">
        <is>
          <t>https://www.pns.hk/en/campbells-soup/c/campbellspromo</t>
        </is>
      </c>
      <c r="L287" s="0" t="inlineStr">
        <is>
          <t>IMG_7057.HEIC</t>
        </is>
      </c>
    </row>
    <row r="288">
      <c r="A288" s="4" t="n">
        <v>283</v>
      </c>
      <c r="B288" s="6" t="inlineStr">
        <is>
          <t>Campbell's</t>
        </is>
      </c>
      <c r="C288" s="6" t="inlineStr">
        <is>
          <t>Campbell's Cream Of Mushroom Soup</t>
        </is>
      </c>
      <c r="D288" s="4" t="n">
        <v>17</v>
      </c>
      <c r="E288" s="4" t="inlineStr">
        <is>
          <t>Groceries</t>
        </is>
      </c>
      <c r="F288" s="4" t="inlineStr">
        <is>
          <t>Canned Goods</t>
        </is>
      </c>
      <c r="G288" s="4" t="inlineStr">
        <is>
          <t>295G</t>
        </is>
      </c>
      <c r="H288" s="4" t="n"/>
      <c r="I288" s="4">
        <f>IF(H288="","",VALUE(LEFT(H288,FIND("/",H288)-1))/VALUE(MID(H288,FIND("/",H288)+1,99)))</f>
        <v/>
      </c>
      <c r="J288" s="4" t="n"/>
      <c r="K288" s="0" t="inlineStr">
        <is>
          <t>https://www.pns.hk/en/campbells-soup/c/campbellspromo</t>
        </is>
      </c>
      <c r="L288" s="0" t="inlineStr">
        <is>
          <t>IMG_7057.HEIC</t>
        </is>
      </c>
    </row>
    <row r="289">
      <c r="A289" s="4" t="n">
        <v>284</v>
      </c>
      <c r="B289" s="6" t="inlineStr">
        <is>
          <t>Select</t>
        </is>
      </c>
      <c r="C289" s="6" t="inlineStr">
        <is>
          <t>Select Pieces &amp; Stems Button Mushroom</t>
        </is>
      </c>
      <c r="D289" s="4" t="n">
        <v>10.2</v>
      </c>
      <c r="E289" s="4" t="inlineStr">
        <is>
          <t>Groceries</t>
        </is>
      </c>
      <c r="F289" s="4" t="inlineStr">
        <is>
          <t>Canned Goods</t>
        </is>
      </c>
      <c r="G289" s="4" t="inlineStr">
        <is>
          <t>425G</t>
        </is>
      </c>
      <c r="H289" s="4" t="n"/>
      <c r="I289" s="4">
        <f>IF(H289="","",VALUE(LEFT(H289,FIND("/",H289)-1))/VALUE(MID(H289,FIND("/",H289)+1,99)))</f>
        <v/>
      </c>
      <c r="J289" s="4" t="inlineStr">
        <is>
          <t>Discounted; OP = 12.0; 9折 sticker visible</t>
        </is>
      </c>
      <c r="K289" s="0" t="inlineStr">
        <is>
          <t>https://www.pns.hk/en/food-beverages/canned-vegetable-bean/c/04050106</t>
        </is>
      </c>
      <c r="L289" s="0" t="inlineStr">
        <is>
          <t>IMG_7057.HEIC</t>
        </is>
      </c>
    </row>
    <row r="290">
      <c r="A290" s="4" t="n">
        <v>285</v>
      </c>
      <c r="B290" s="6" t="inlineStr">
        <is>
          <t>Smedley's</t>
        </is>
      </c>
      <c r="C290" s="6" t="inlineStr">
        <is>
          <t>Smedley's Baked Beans In Tomato Sauce</t>
        </is>
      </c>
      <c r="D290" s="4" t="n">
        <v>17</v>
      </c>
      <c r="E290" s="4" t="inlineStr">
        <is>
          <t>Groceries</t>
        </is>
      </c>
      <c r="F290" s="4" t="inlineStr">
        <is>
          <t>Canned Goods</t>
        </is>
      </c>
      <c r="G290" s="4" t="inlineStr">
        <is>
          <t>420G</t>
        </is>
      </c>
      <c r="H290" s="4" t="n"/>
      <c r="I290" s="4">
        <f>IF(H290="","",VALUE(LEFT(H290,FIND("/",H290)-1))/VALUE(MID(H290,FIND("/",H290)+1,99)))</f>
        <v/>
      </c>
      <c r="J290" s="4" t="inlineStr">
        <is>
          <t>Discounted; OP = 25.0</t>
        </is>
      </c>
      <c r="K290" s="0" t="inlineStr">
        <is>
          <t>https://www.pns.hk/en/all-brands/b/119551/smedley-s</t>
        </is>
      </c>
      <c r="L290" s="0" t="inlineStr">
        <is>
          <t>IMG_7057.HEIC</t>
        </is>
      </c>
    </row>
    <row r="291">
      <c r="A291" s="4" t="n">
        <v>286</v>
      </c>
      <c r="B291" s="6" t="inlineStr">
        <is>
          <t>Heinz</t>
        </is>
      </c>
      <c r="C291" s="6" t="inlineStr">
        <is>
          <t>Heinz Baked Beans With Tomato Sauce</t>
        </is>
      </c>
      <c r="D291" s="4" t="n">
        <v>14</v>
      </c>
      <c r="E291" s="4" t="inlineStr">
        <is>
          <t>Groceries</t>
        </is>
      </c>
      <c r="F291" s="4" t="inlineStr">
        <is>
          <t>Canned Goods</t>
        </is>
      </c>
      <c r="G291" s="4" t="inlineStr">
        <is>
          <t>200G</t>
        </is>
      </c>
      <c r="H291" s="4" t="n"/>
      <c r="I291" s="4">
        <f>IF(H291="","",VALUE(LEFT(H291,FIND("/",H291)-1))/VALUE(MID(H291,FIND("/",H291)+1,99)))</f>
        <v/>
      </c>
      <c r="J291" s="4" t="n"/>
      <c r="K291" s="0" t="inlineStr">
        <is>
          <t>https://www.pns.hk/en/food-beverages/canned-vegetable-bean/c/04050106</t>
        </is>
      </c>
      <c r="L291" s="0" t="inlineStr">
        <is>
          <t>IMG_7057.HEIC</t>
        </is>
      </c>
    </row>
    <row r="292">
      <c r="A292" s="4" t="n">
        <v>287</v>
      </c>
      <c r="B292" s="6" t="inlineStr">
        <is>
          <t>Del Monte</t>
        </is>
      </c>
      <c r="C292" s="6" t="inlineStr">
        <is>
          <t>Del Monte Baked Beans 3-In-1 Pack</t>
        </is>
      </c>
      <c r="D292" s="4" t="n">
        <v>20</v>
      </c>
      <c r="E292" s="4" t="inlineStr">
        <is>
          <t>Groceries</t>
        </is>
      </c>
      <c r="F292" s="4" t="inlineStr">
        <is>
          <t>Canned Goods</t>
        </is>
      </c>
      <c r="G292" s="4" t="inlineStr">
        <is>
          <t>3x190G</t>
        </is>
      </c>
      <c r="H292" s="4" t="n"/>
      <c r="I292" s="4">
        <f>IF(H292="","",VALUE(LEFT(H292,FIND("/",H292)-1))/VALUE(MID(H292,FIND("/",H292)+1,99)))</f>
        <v/>
      </c>
      <c r="J292" s="4" t="n"/>
      <c r="K292" s="0" t="inlineStr">
        <is>
          <t>https://www.pns.hk/zh-hk/baked-beans-3-in-1-pack/p/BP_403351</t>
        </is>
      </c>
      <c r="L292" s="0" t="inlineStr">
        <is>
          <t>IMG_7057.HEIC</t>
        </is>
      </c>
    </row>
    <row r="293">
      <c r="A293" s="4" t="n">
        <v>288</v>
      </c>
      <c r="B293" s="6" t="inlineStr">
        <is>
          <t>Pou Yen</t>
        </is>
      </c>
      <c r="C293" s="6" t="inlineStr">
        <is>
          <t>Pou Yen Whole Mushrooms</t>
        </is>
      </c>
      <c r="D293" s="4" t="n">
        <v>11</v>
      </c>
      <c r="E293" s="4" t="inlineStr">
        <is>
          <t>Groceries</t>
        </is>
      </c>
      <c r="F293" s="4" t="inlineStr">
        <is>
          <t>Canned Goods</t>
        </is>
      </c>
      <c r="G293" s="4" t="inlineStr">
        <is>
          <t>425G</t>
        </is>
      </c>
      <c r="H293" s="4" t="n"/>
      <c r="I293" s="4">
        <f>IF(H293="","",VALUE(LEFT(H293,FIND("/",H293)-1))/VALUE(MID(H293,FIND("/",H293)+1,99)))</f>
        <v/>
      </c>
      <c r="J293" s="4" t="inlineStr">
        <is>
          <t>Brand/product inferred from matching packaging; verify if needed</t>
        </is>
      </c>
      <c r="K293" s="0" t="inlineStr">
        <is>
          <t>https://app.wong.pe/champinones-pou-yen-lata-425-g-179926/p</t>
        </is>
      </c>
      <c r="L293" s="0" t="inlineStr">
        <is>
          <t>IMG_7057.HEIC</t>
        </is>
      </c>
    </row>
    <row r="294">
      <c r="A294" s="4" t="n">
        <v>289</v>
      </c>
      <c r="B294" s="6" t="inlineStr">
        <is>
          <t>Del Monte</t>
        </is>
      </c>
      <c r="C294" s="6" t="inlineStr">
        <is>
          <t>Del Monte Whole Kernel Corn 3-In-1 Pack</t>
        </is>
      </c>
      <c r="D294" s="4" t="n">
        <v>19</v>
      </c>
      <c r="E294" s="4" t="inlineStr">
        <is>
          <t>Groceries</t>
        </is>
      </c>
      <c r="F294" s="4" t="inlineStr">
        <is>
          <t>Canned Goods</t>
        </is>
      </c>
      <c r="G294" s="4" t="inlineStr">
        <is>
          <t>3x190G</t>
        </is>
      </c>
      <c r="H294" s="4" t="n"/>
      <c r="I294" s="4">
        <f>IF(H294="","",VALUE(LEFT(H294,FIND("/",H294)-1))/VALUE(MID(H294,FIND("/",H294)+1,99)))</f>
        <v/>
      </c>
      <c r="J294" s="4" t="inlineStr">
        <is>
          <t>Price read from the shelf label; pack clearly marked 3 x 190G</t>
        </is>
      </c>
      <c r="K294" s="0" t="inlineStr">
        <is>
          <t>https://www.pns.hk/en/del-monte-products/c/delmontepromo</t>
        </is>
      </c>
      <c r="L294" s="0" t="inlineStr">
        <is>
          <t>IMG_7058.HEIC</t>
        </is>
      </c>
    </row>
    <row r="295">
      <c r="A295" s="4" t="n">
        <v>290</v>
      </c>
      <c r="B295" s="6" t="inlineStr">
        <is>
          <t>Del Monte</t>
        </is>
      </c>
      <c r="C295" s="6" t="inlineStr">
        <is>
          <t>Del Monte Whole Kernel Corn</t>
        </is>
      </c>
      <c r="D295" s="4" t="n">
        <v>11</v>
      </c>
      <c r="E295" s="4" t="inlineStr">
        <is>
          <t>Groceries</t>
        </is>
      </c>
      <c r="F295" s="4" t="inlineStr">
        <is>
          <t>Canned Goods</t>
        </is>
      </c>
      <c r="G295" s="4" t="inlineStr">
        <is>
          <t>340G</t>
        </is>
      </c>
      <c r="H295" s="4" t="inlineStr">
        <is>
          <t>13.8/2</t>
        </is>
      </c>
      <c r="I295" s="4">
        <f>IF(H295="","",VALUE(LEFT(H295,FIND("/",H295)-1))/VALUE(MID(H295,FIND("/",H295)+1,99)))</f>
        <v/>
      </c>
      <c r="J295" s="4" t="n"/>
      <c r="K295" s="0" t="inlineStr">
        <is>
          <t>https://www.pns.hk/en/search?text=corn</t>
        </is>
      </c>
      <c r="L295" s="0" t="inlineStr">
        <is>
          <t>IMG_7058.HEIC</t>
        </is>
      </c>
    </row>
    <row r="296">
      <c r="A296" s="4" t="n">
        <v>291</v>
      </c>
      <c r="B296" s="6" t="inlineStr">
        <is>
          <t>Del Monte</t>
        </is>
      </c>
      <c r="C296" s="6" t="inlineStr">
        <is>
          <t>Del Monte Sweet Corn Cream Style</t>
        </is>
      </c>
      <c r="D296" s="4" t="n">
        <v>11</v>
      </c>
      <c r="E296" s="4" t="inlineStr">
        <is>
          <t>Groceries</t>
        </is>
      </c>
      <c r="F296" s="4" t="inlineStr">
        <is>
          <t>Canned Goods</t>
        </is>
      </c>
      <c r="G296" s="4" t="inlineStr">
        <is>
          <t>340G</t>
        </is>
      </c>
      <c r="H296" s="4" t="inlineStr">
        <is>
          <t>13.8/2</t>
        </is>
      </c>
      <c r="I296" s="4">
        <f>IF(H296="","",VALUE(LEFT(H296,FIND("/",H296)-1))/VALUE(MID(H296,FIND("/",H296)+1,99)))</f>
        <v/>
      </c>
      <c r="J296" s="4" t="n"/>
      <c r="K296" s="0" t="inlineStr">
        <is>
          <t>https://www.pns.hk/en/search?text=corn</t>
        </is>
      </c>
      <c r="L296" s="0" t="inlineStr">
        <is>
          <t>IMG_7058.HEIC</t>
        </is>
      </c>
    </row>
    <row r="297">
      <c r="A297" s="4" t="n">
        <v>292</v>
      </c>
      <c r="B297" s="6" t="inlineStr">
        <is>
          <t>Del Monte</t>
        </is>
      </c>
      <c r="C297" s="6" t="inlineStr">
        <is>
          <t>Del Monte Whole Kernel Corn</t>
        </is>
      </c>
      <c r="D297" s="4" t="n">
        <v>12</v>
      </c>
      <c r="E297" s="4" t="inlineStr">
        <is>
          <t>Groceries</t>
        </is>
      </c>
      <c r="F297" s="4" t="inlineStr">
        <is>
          <t>Canned Goods</t>
        </is>
      </c>
      <c r="G297" s="4" t="inlineStr">
        <is>
          <t>420G</t>
        </is>
      </c>
      <c r="H297" s="4" t="inlineStr">
        <is>
          <t>21/2</t>
        </is>
      </c>
      <c r="I297" s="4">
        <f>IF(H297="","",VALUE(LEFT(H297,FIND("/",H297)-1))/VALUE(MID(H297,FIND("/",H297)+1,99)))</f>
        <v/>
      </c>
      <c r="J297" s="4" t="n"/>
      <c r="K297" s="0" t="inlineStr">
        <is>
          <t>https://www.pns.hk/en/del-monte-products/c/delmontepromo</t>
        </is>
      </c>
      <c r="L297" s="0" t="inlineStr">
        <is>
          <t>IMG_7058.HEIC</t>
        </is>
      </c>
    </row>
    <row r="298">
      <c r="A298" s="4" t="n">
        <v>293</v>
      </c>
      <c r="B298" s="6" t="inlineStr">
        <is>
          <t>Del Monte</t>
        </is>
      </c>
      <c r="C298" s="6" t="inlineStr">
        <is>
          <t>Del Monte Sweet Corn Cream Style</t>
        </is>
      </c>
      <c r="D298" s="4" t="n">
        <v>12</v>
      </c>
      <c r="E298" s="4" t="inlineStr">
        <is>
          <t>Groceries</t>
        </is>
      </c>
      <c r="F298" s="4" t="inlineStr">
        <is>
          <t>Canned Goods</t>
        </is>
      </c>
      <c r="G298" s="4" t="inlineStr">
        <is>
          <t>420G</t>
        </is>
      </c>
      <c r="H298" s="4" t="inlineStr">
        <is>
          <t>21/2</t>
        </is>
      </c>
      <c r="I298" s="4">
        <f>IF(H298="","",VALUE(LEFT(H298,FIND("/",H298)-1))/VALUE(MID(H298,FIND("/",H298)+1,99)))</f>
        <v/>
      </c>
      <c r="J298" s="4" t="n"/>
      <c r="K298" s="0" t="inlineStr">
        <is>
          <t>https://www.pns.hk/en/del-monte-products/c/delmontepromo</t>
        </is>
      </c>
      <c r="L298" s="0" t="inlineStr">
        <is>
          <t>IMG_7058.HEIC</t>
        </is>
      </c>
    </row>
    <row r="299">
      <c r="A299" s="4" t="n">
        <v>294</v>
      </c>
      <c r="B299" s="6" t="inlineStr">
        <is>
          <t>Ciao</t>
        </is>
      </c>
      <c r="C299" s="6" t="inlineStr">
        <is>
          <t>Ciao Boiled Chick Peas</t>
        </is>
      </c>
      <c r="D299" s="4" t="n">
        <v>16</v>
      </c>
      <c r="E299" s="4" t="inlineStr">
        <is>
          <t>Groceries</t>
        </is>
      </c>
      <c r="F299" s="4" t="inlineStr">
        <is>
          <t>Canned Goods</t>
        </is>
      </c>
      <c r="G299" s="4" t="inlineStr">
        <is>
          <t>400G</t>
        </is>
      </c>
      <c r="H299" s="4" t="n"/>
      <c r="I299" s="4">
        <f>IF(H299="","",VALUE(LEFT(H299,FIND("/",H299)-1))/VALUE(MID(H299,FIND("/",H299)+1,99)))</f>
        <v/>
      </c>
      <c r="J299" s="4" t="n"/>
      <c r="K299" s="0" t="inlineStr">
        <is>
          <t>https://www.pns.hk/en/boiled-chick-peas/p/BP_147483</t>
        </is>
      </c>
      <c r="L299" s="0" t="inlineStr">
        <is>
          <t>IMG_7058.HEIC</t>
        </is>
      </c>
    </row>
    <row r="300">
      <c r="A300" s="4" t="n">
        <v>295</v>
      </c>
      <c r="B300" s="6" t="inlineStr">
        <is>
          <t>S&amp;W</t>
        </is>
      </c>
      <c r="C300" s="6" t="inlineStr">
        <is>
          <t>S&amp;W Kidney Beans</t>
        </is>
      </c>
      <c r="D300" s="4" t="n">
        <v>20.5</v>
      </c>
      <c r="E300" s="4" t="inlineStr">
        <is>
          <t>Groceries</t>
        </is>
      </c>
      <c r="F300" s="4" t="inlineStr">
        <is>
          <t>Canned Goods</t>
        </is>
      </c>
      <c r="G300" s="4" t="inlineStr">
        <is>
          <t>Unknown</t>
        </is>
      </c>
      <c r="H300" s="4" t="n"/>
      <c r="I300" s="4">
        <f>IF(H300="","",VALUE(LEFT(H300,FIND("/",H300)-1))/VALUE(MID(H300,FIND("/",H300)+1,99)))</f>
        <v/>
      </c>
      <c r="J300" s="4" t="inlineStr">
        <is>
          <t>Net weight not readable from IMG_7058</t>
        </is>
      </c>
      <c r="K300" s="0" t="inlineStr">
        <is>
          <t>https://www.pns.hk/en/food-beverages/canned-vegetable-bean/c/04050106</t>
        </is>
      </c>
      <c r="L300" s="0" t="inlineStr">
        <is>
          <t>IMG_7058.HEIC</t>
        </is>
      </c>
    </row>
    <row r="301">
      <c r="A301" s="4" t="n">
        <v>296</v>
      </c>
      <c r="B301" s="6" t="inlineStr">
        <is>
          <t>Golden Crown</t>
        </is>
      </c>
      <c r="C301" s="6" t="inlineStr">
        <is>
          <t>Golden Crown Mandarin Oranges</t>
        </is>
      </c>
      <c r="D301" s="4" t="n">
        <v>12.5</v>
      </c>
      <c r="E301" s="4" t="inlineStr">
        <is>
          <t>Groceries</t>
        </is>
      </c>
      <c r="F301" s="4" t="inlineStr">
        <is>
          <t>Canned Goods</t>
        </is>
      </c>
      <c r="G301" s="4" t="inlineStr">
        <is>
          <t>11OZ</t>
        </is>
      </c>
      <c r="H301" s="4" t="n"/>
      <c r="I301" s="4">
        <f>IF(H301="","",VALUE(LEFT(H301,FIND("/",H301)-1))/VALUE(MID(H301,FIND("/",H301)+1,99)))</f>
        <v/>
      </c>
      <c r="J301" s="4" t="n"/>
      <c r="K301" s="0" t="inlineStr">
        <is>
          <t>https://www.pns.hk/zh-hk/%E6%9F%91%E8%82%89/p/BP_112923</t>
        </is>
      </c>
      <c r="L301" s="0" t="inlineStr">
        <is>
          <t>IMG_7058.HEIC</t>
        </is>
      </c>
    </row>
    <row r="302">
      <c r="A302" s="4" t="n">
        <v>297</v>
      </c>
      <c r="B302" s="6" t="inlineStr">
        <is>
          <t>Del Monte</t>
        </is>
      </c>
      <c r="C302" s="6" t="inlineStr">
        <is>
          <t>Del Monte Fresh Cut Pear Halves</t>
        </is>
      </c>
      <c r="D302" s="4" t="n">
        <v>22</v>
      </c>
      <c r="E302" s="4" t="inlineStr">
        <is>
          <t>Groceries</t>
        </is>
      </c>
      <c r="F302" s="4" t="inlineStr">
        <is>
          <t>Canned Goods</t>
        </is>
      </c>
      <c r="G302" s="4" t="inlineStr">
        <is>
          <t>Unknown</t>
        </is>
      </c>
      <c r="H302" s="4" t="inlineStr">
        <is>
          <t>40/2</t>
        </is>
      </c>
      <c r="I302" s="4">
        <f>IF(H302="","",VALUE(LEFT(H302,FIND("/",H302)-1))/VALUE(MID(H302,FIND("/",H302)+1,99)))</f>
        <v/>
      </c>
      <c r="J302" s="4" t="inlineStr">
        <is>
          <t>Package weight not readable from IMG_7058</t>
        </is>
      </c>
      <c r="K302" s="0" t="inlineStr">
        <is>
          <t>https://www.hungfatho.com.hk/product-api/4255008/</t>
        </is>
      </c>
      <c r="L302" s="0" t="inlineStr">
        <is>
          <t>IMG_7058.HEIC</t>
        </is>
      </c>
    </row>
    <row r="303">
      <c r="A303" s="4" t="n">
        <v>298</v>
      </c>
      <c r="B303" s="6" t="inlineStr">
        <is>
          <t>Del Monte</t>
        </is>
      </c>
      <c r="C303" s="6" t="inlineStr">
        <is>
          <t>Del Monte S. Africa Peach Halves</t>
        </is>
      </c>
      <c r="D303" s="4" t="n">
        <v>22</v>
      </c>
      <c r="E303" s="4" t="inlineStr">
        <is>
          <t>Groceries</t>
        </is>
      </c>
      <c r="F303" s="4" t="inlineStr">
        <is>
          <t>Canned Goods</t>
        </is>
      </c>
      <c r="G303" s="4" t="inlineStr">
        <is>
          <t>420G</t>
        </is>
      </c>
      <c r="H303" s="4" t="inlineStr">
        <is>
          <t>40/2</t>
        </is>
      </c>
      <c r="I303" s="4">
        <f>IF(H303="","",VALUE(LEFT(H303,FIND("/",H303)-1))/VALUE(MID(H303,FIND("/",H303)+1,99)))</f>
        <v/>
      </c>
      <c r="J303" s="4" t="inlineStr">
        <is>
          <t>Medium can; product variant/weight matched to the shelf presentation</t>
        </is>
      </c>
      <c r="K303" s="0" t="inlineStr">
        <is>
          <t>https://www.pns.hk/en/food-beverages/canned-fruit/c/04050104</t>
        </is>
      </c>
      <c r="L303" s="0" t="inlineStr">
        <is>
          <t>IMG_7058.HEIC</t>
        </is>
      </c>
    </row>
    <row r="304">
      <c r="A304" s="4" t="n">
        <v>299</v>
      </c>
      <c r="B304" s="6" t="inlineStr">
        <is>
          <t>Del Monte</t>
        </is>
      </c>
      <c r="C304" s="6" t="inlineStr">
        <is>
          <t>Del Monte Sliced Pineapple In Heavy Syrup</t>
        </is>
      </c>
      <c r="D304" s="4" t="n">
        <v>12</v>
      </c>
      <c r="E304" s="4" t="inlineStr">
        <is>
          <t>Groceries</t>
        </is>
      </c>
      <c r="F304" s="4" t="inlineStr">
        <is>
          <t>Canned Goods</t>
        </is>
      </c>
      <c r="G304" s="4" t="inlineStr">
        <is>
          <t>234G</t>
        </is>
      </c>
      <c r="H304" s="4" t="inlineStr">
        <is>
          <t>22/2</t>
        </is>
      </c>
      <c r="I304" s="4">
        <f>IF(H304="","",VALUE(LEFT(H304,FIND("/",H304)-1))/VALUE(MID(H304,FIND("/",H304)+1,99)))</f>
        <v/>
      </c>
      <c r="J304" s="4" t="inlineStr">
        <is>
          <t>Small can; net weight visible on pack</t>
        </is>
      </c>
      <c r="K304" s="0" t="inlineStr">
        <is>
          <t>https://www.pns.hk/en/dm-sliced-pineapple-in-heavy-syrup-s-234g/p/BP_118257</t>
        </is>
      </c>
      <c r="L304" s="0" t="inlineStr">
        <is>
          <t>IMG_7058.HEIC</t>
        </is>
      </c>
    </row>
    <row r="305">
      <c r="A305" s="4" t="n">
        <v>300</v>
      </c>
      <c r="B305" s="6" t="inlineStr">
        <is>
          <t>Del Monte</t>
        </is>
      </c>
      <c r="C305" s="6" t="inlineStr">
        <is>
          <t>Del Monte Sliced Pineapple In Heavy Syrup</t>
        </is>
      </c>
      <c r="D305" s="4" t="n">
        <v>23</v>
      </c>
      <c r="E305" s="4" t="inlineStr">
        <is>
          <t>Groceries</t>
        </is>
      </c>
      <c r="F305" s="4" t="inlineStr">
        <is>
          <t>Canned Goods</t>
        </is>
      </c>
      <c r="G305" s="4" t="inlineStr">
        <is>
          <t>836G</t>
        </is>
      </c>
      <c r="H305" s="4" t="inlineStr">
        <is>
          <t>37/2</t>
        </is>
      </c>
      <c r="I305" s="4">
        <f>IF(H305="","",VALUE(LEFT(H305,FIND("/",H305)-1))/VALUE(MID(H305,FIND("/",H305)+1,99)))</f>
        <v/>
      </c>
      <c r="J305" s="4" t="inlineStr">
        <is>
          <t>Large can; size matched to PNS listing</t>
        </is>
      </c>
      <c r="K305" s="0" t="inlineStr">
        <is>
          <t>https://www.pns.hk/en/food-beverages/canned-fruit/c/04050104</t>
        </is>
      </c>
      <c r="L305" s="0" t="inlineStr">
        <is>
          <t>IMG_7058.HEIC</t>
        </is>
      </c>
    </row>
    <row r="306">
      <c r="A306" s="4" t="n">
        <v>301</v>
      </c>
      <c r="B306" s="6" t="inlineStr">
        <is>
          <t>Del Monte</t>
        </is>
      </c>
      <c r="C306" s="6" t="inlineStr">
        <is>
          <t>Del Monte S. Africa Peach Halves</t>
        </is>
      </c>
      <c r="D306" s="4" t="n">
        <v>30</v>
      </c>
      <c r="E306" s="4" t="inlineStr">
        <is>
          <t>Groceries</t>
        </is>
      </c>
      <c r="F306" s="4" t="inlineStr">
        <is>
          <t>Canned Goods</t>
        </is>
      </c>
      <c r="G306" s="4" t="inlineStr">
        <is>
          <t>825G</t>
        </is>
      </c>
      <c r="H306" s="4" t="inlineStr">
        <is>
          <t>46/2</t>
        </is>
      </c>
      <c r="I306" s="4">
        <f>IF(H306="","",VALUE(LEFT(H306,FIND("/",H306)-1))/VALUE(MID(H306,FIND("/",H306)+1,99)))</f>
        <v/>
      </c>
      <c r="J306" s="4" t="inlineStr">
        <is>
          <t>Large can; size matched to PNS listing</t>
        </is>
      </c>
      <c r="K306" s="0" t="inlineStr">
        <is>
          <t>https://www.pns.hk/en/food-beverages/canned-fruit/c/04050104</t>
        </is>
      </c>
      <c r="L306" s="0" t="inlineStr">
        <is>
          <t>IMG_7058.HEIC</t>
        </is>
      </c>
    </row>
    <row r="307">
      <c r="A307" s="4" t="n">
        <v>302</v>
      </c>
      <c r="B307" s="6" t="inlineStr">
        <is>
          <t>Del Monte</t>
        </is>
      </c>
      <c r="C307" s="6" t="inlineStr">
        <is>
          <t>Del Monte Fiesta Tropical Fruit Cocktail</t>
        </is>
      </c>
      <c r="D307" s="4" t="n">
        <v>23</v>
      </c>
      <c r="E307" s="4" t="inlineStr">
        <is>
          <t>Groceries</t>
        </is>
      </c>
      <c r="F307" s="4" t="inlineStr">
        <is>
          <t>Canned Goods</t>
        </is>
      </c>
      <c r="G307" s="4" t="inlineStr">
        <is>
          <t>30OZ</t>
        </is>
      </c>
      <c r="H307" s="4" t="inlineStr">
        <is>
          <t>37/2</t>
        </is>
      </c>
      <c r="I307" s="4">
        <f>IF(H307="","",VALUE(LEFT(H307,FIND("/",H307)-1))/VALUE(MID(H307,FIND("/",H307)+1,99)))</f>
        <v/>
      </c>
      <c r="J307" s="4" t="inlineStr">
        <is>
          <t>Label reads Tropical Fruit Mix; name matched to Del Monte product listing</t>
        </is>
      </c>
      <c r="K307" s="0" t="inlineStr">
        <is>
          <t>https://www.pns.hk/en/food-beverages/canned-fruit/c/04050104</t>
        </is>
      </c>
      <c r="L307" s="0" t="inlineStr">
        <is>
          <t>IMG_7058.HEIC</t>
        </is>
      </c>
    </row>
    <row r="308">
      <c r="A308" s="4" t="n">
        <v>303</v>
      </c>
      <c r="B308" s="6" t="inlineStr">
        <is>
          <t>Baker's Choice</t>
        </is>
      </c>
      <c r="C308" s="6" t="inlineStr">
        <is>
          <t>Unknown Baker's Choice bakery product (far-left top shelf)</t>
        </is>
      </c>
      <c r="D308" s="4" t="n">
        <v>19.5</v>
      </c>
      <c r="E308" s="4" t="inlineStr">
        <is>
          <t>Groceries</t>
        </is>
      </c>
      <c r="F308" s="4" t="inlineStr">
        <is>
          <t>Bread &amp; Bakery</t>
        </is>
      </c>
      <c r="G308" s="4" t="inlineStr">
        <is>
          <t>Unknown</t>
        </is>
      </c>
      <c r="H308" s="4" t="n"/>
      <c r="I308" s="4">
        <f>IF(H308="","",VALUE(LEFT(H308,FIND("/",H308)-1))/VALUE(MID(H308,FIND("/",H308)+1,99)))</f>
        <v/>
      </c>
      <c r="J308" s="4" t="inlineStr">
        <is>
          <t>Product label obscured by packaging</t>
        </is>
      </c>
      <c r="K308" s="0" t="str"/>
      <c r="L308" s="0" t="inlineStr">
        <is>
          <t>IMG_7059.HEIC</t>
        </is>
      </c>
    </row>
    <row r="309">
      <c r="A309" s="4" t="n">
        <v>304</v>
      </c>
      <c r="B309" s="6" t="inlineStr">
        <is>
          <t>Baker's Choice</t>
        </is>
      </c>
      <c r="C309" s="6" t="inlineStr">
        <is>
          <t>Unknown Baker's Choice bakery product (green/yellow pack)</t>
        </is>
      </c>
      <c r="D309" s="4" t="n">
        <v>19.5</v>
      </c>
      <c r="E309" s="4" t="inlineStr">
        <is>
          <t>Groceries</t>
        </is>
      </c>
      <c r="F309" s="4" t="inlineStr">
        <is>
          <t>Bread &amp; Bakery</t>
        </is>
      </c>
      <c r="G309" s="4" t="inlineStr">
        <is>
          <t>Unknown</t>
        </is>
      </c>
      <c r="H309" s="4" t="n"/>
      <c r="I309" s="4">
        <f>IF(H309="","",VALUE(LEFT(H309,FIND("/",H309)-1))/VALUE(MID(H309,FIND("/",H309)+1,99)))</f>
        <v/>
      </c>
      <c r="J309" s="4" t="inlineStr">
        <is>
          <t>Product label obscured by packaging</t>
        </is>
      </c>
      <c r="K309" s="0" t="str"/>
      <c r="L309" s="0" t="inlineStr">
        <is>
          <t>IMG_7059.HEIC</t>
        </is>
      </c>
    </row>
    <row r="310">
      <c r="A310" s="4" t="n">
        <v>305</v>
      </c>
      <c r="B310" s="6" t="inlineStr">
        <is>
          <t>Baker's Choice</t>
        </is>
      </c>
      <c r="C310" s="6" t="inlineStr">
        <is>
          <t>Baker's Choice Royal Butter Loaf</t>
        </is>
      </c>
      <c r="D310" s="4" t="n">
        <v>16.9</v>
      </c>
      <c r="E310" s="4" t="inlineStr">
        <is>
          <t>Groceries</t>
        </is>
      </c>
      <c r="F310" s="4" t="inlineStr">
        <is>
          <t>Bread &amp; Bakery</t>
        </is>
      </c>
      <c r="G310" s="4" t="inlineStr">
        <is>
          <t>240G</t>
        </is>
      </c>
      <c r="H310" s="4" t="n"/>
      <c r="I310" s="4">
        <f>IF(H310="","",VALUE(LEFT(H310,FIND("/",H310)-1))/VALUE(MID(H310,FIND("/",H310)+1,99)))</f>
        <v/>
      </c>
      <c r="J310" s="4" t="n"/>
      <c r="K310" s="0" t="inlineStr">
        <is>
          <t>https://www.pns.hk/en/royal-butter-loaf/p/BP_68320</t>
        </is>
      </c>
      <c r="L310" s="0" t="inlineStr">
        <is>
          <t>IMG_7059.HEIC</t>
        </is>
      </c>
    </row>
    <row r="311">
      <c r="A311" s="4" t="n">
        <v>306</v>
      </c>
      <c r="B311" s="6" t="inlineStr">
        <is>
          <t>Select</t>
        </is>
      </c>
      <c r="C311" s="6" t="inlineStr">
        <is>
          <t>Select Whole Wheat Bread W/ Walnut &amp; Cranberry</t>
        </is>
      </c>
      <c r="D311" s="4" t="n">
        <v>16.9</v>
      </c>
      <c r="E311" s="4" t="inlineStr">
        <is>
          <t>Groceries</t>
        </is>
      </c>
      <c r="F311" s="4" t="inlineStr">
        <is>
          <t>Bread &amp; Bakery</t>
        </is>
      </c>
      <c r="G311" s="4" t="inlineStr">
        <is>
          <t>215G</t>
        </is>
      </c>
      <c r="H311" s="4" t="n"/>
      <c r="I311" s="4">
        <f>IF(H311="","",VALUE(LEFT(H311,FIND("/",H311)-1))/VALUE(MID(H311,FIND("/",H311)+1,99)))</f>
        <v/>
      </c>
      <c r="J311" s="4" t="n"/>
      <c r="K311" s="0" t="inlineStr">
        <is>
          <t>https://www.pns.hk/en/whole-wheat-bread-w-walnut-cranberry/p/BP_68340</t>
        </is>
      </c>
      <c r="L311" s="0" t="inlineStr">
        <is>
          <t>IMG_7059.HEIC</t>
        </is>
      </c>
    </row>
    <row r="312">
      <c r="A312" s="4" t="n">
        <v>307</v>
      </c>
      <c r="B312" s="6" t="inlineStr">
        <is>
          <t>Select</t>
        </is>
      </c>
      <c r="C312" s="6" t="inlineStr">
        <is>
          <t>Select Classic Hamburger Bun</t>
        </is>
      </c>
      <c r="D312" s="4" t="n">
        <v>14.9</v>
      </c>
      <c r="E312" s="4" t="inlineStr">
        <is>
          <t>Groceries</t>
        </is>
      </c>
      <c r="F312" s="4" t="inlineStr">
        <is>
          <t>Bread &amp; Bakery</t>
        </is>
      </c>
      <c r="G312" s="4" t="inlineStr">
        <is>
          <t>4PCS</t>
        </is>
      </c>
      <c r="H312" s="4" t="n"/>
      <c r="I312" s="4">
        <f>IF(H312="","",VALUE(LEFT(H312,FIND("/",H312)-1))/VALUE(MID(H312,FIND("/",H312)+1,99)))</f>
        <v/>
      </c>
      <c r="J312" s="4" t="inlineStr">
        <is>
          <t>Sesame-topped buns visible; product matched to Select catalogue</t>
        </is>
      </c>
      <c r="K312" s="0" t="inlineStr">
        <is>
          <t>https://www.pns.hk/en/purchase-any-1-pc-of-baker-s-choice-prepacked-bread-cake-promo/c/ambrosial-redemption</t>
        </is>
      </c>
      <c r="L312" s="0" t="inlineStr">
        <is>
          <t>IMG_7059.HEIC</t>
        </is>
      </c>
    </row>
    <row r="313">
      <c r="A313" s="4" t="n">
        <v>308</v>
      </c>
      <c r="B313" s="6" t="inlineStr">
        <is>
          <t>Unknown</t>
        </is>
      </c>
      <c r="C313" s="6" t="inlineStr">
        <is>
          <t>Unknown bakery product (top shelf; label obscured)</t>
        </is>
      </c>
      <c r="D313" s="4" t="n">
        <v>14.9</v>
      </c>
      <c r="E313" s="4" t="inlineStr">
        <is>
          <t>Groceries</t>
        </is>
      </c>
      <c r="F313" s="4" t="inlineStr">
        <is>
          <t>Bread &amp; Bakery</t>
        </is>
      </c>
      <c r="G313" s="4" t="inlineStr">
        <is>
          <t>Unknown</t>
        </is>
      </c>
      <c r="H313" s="4" t="n"/>
      <c r="I313" s="4">
        <f>IF(H313="","",VALUE(LEFT(H313,FIND("/",H313)-1))/VALUE(MID(H313,FIND("/",H313)+1,99)))</f>
        <v/>
      </c>
      <c r="J313" s="4" t="inlineStr">
        <is>
          <t>Product identity unclear from IMG_7059</t>
        </is>
      </c>
      <c r="K313" s="0" t="str"/>
      <c r="L313" s="0" t="inlineStr">
        <is>
          <t>IMG_7059.HEIC</t>
        </is>
      </c>
    </row>
    <row r="314">
      <c r="A314" s="4" t="n">
        <v>309</v>
      </c>
      <c r="B314" s="6" t="inlineStr">
        <is>
          <t>Unknown</t>
        </is>
      </c>
      <c r="C314" s="6" t="inlineStr">
        <is>
          <t>Unknown whole-wheat bread product (top shelf; label obscured)</t>
        </is>
      </c>
      <c r="D314" s="4" t="n">
        <v>18</v>
      </c>
      <c r="E314" s="4" t="inlineStr">
        <is>
          <t>Groceries</t>
        </is>
      </c>
      <c r="F314" s="4" t="inlineStr">
        <is>
          <t>Bread &amp; Bakery</t>
        </is>
      </c>
      <c r="G314" s="4" t="inlineStr">
        <is>
          <t>Unknown</t>
        </is>
      </c>
      <c r="H314" s="4" t="n"/>
      <c r="I314" s="4">
        <f>IF(H314="","",VALUE(LEFT(H314,FIND("/",H314)-1))/VALUE(MID(H314,FIND("/",H314)+1,99)))</f>
        <v/>
      </c>
      <c r="J314" s="4" t="inlineStr">
        <is>
          <t>Brand/variant and package size unclear from IMG_7059</t>
        </is>
      </c>
      <c r="K314" s="0" t="str"/>
      <c r="L314" s="0" t="inlineStr">
        <is>
          <t>IMG_7059.HEIC</t>
        </is>
      </c>
    </row>
    <row r="315">
      <c r="A315" s="4" t="n">
        <v>310</v>
      </c>
      <c r="B315" s="6" t="inlineStr">
        <is>
          <t>Select</t>
        </is>
      </c>
      <c r="C315" s="6" t="inlineStr">
        <is>
          <t>Select Crustless Sandwich Bread 6s</t>
        </is>
      </c>
      <c r="D315" s="4" t="n">
        <v>10.9</v>
      </c>
      <c r="E315" s="4" t="inlineStr">
        <is>
          <t>Groceries</t>
        </is>
      </c>
      <c r="F315" s="4" t="inlineStr">
        <is>
          <t>Bread &amp; Bakery</t>
        </is>
      </c>
      <c r="G315" s="4" t="inlineStr">
        <is>
          <t>6SLICES</t>
        </is>
      </c>
      <c r="H315" s="4" t="n"/>
      <c r="I315" s="4">
        <f>IF(H315="","",VALUE(LEFT(H315,FIND("/",H315)-1))/VALUE(MID(H315,FIND("/",H315)+1,99)))</f>
        <v/>
      </c>
      <c r="J315" s="4" t="inlineStr">
        <is>
          <t>Green-pack sandwich bread; label partly obscured</t>
        </is>
      </c>
      <c r="K315" s="0" t="inlineStr">
        <is>
          <t>https://www.pns.hk/en/purchase-any-1-pc-of-baker-s-choice-prepacked-bread-cake-promo/c/ambrosial-redemption</t>
        </is>
      </c>
      <c r="L315" s="0" t="inlineStr">
        <is>
          <t>IMG_7059.HEIC</t>
        </is>
      </c>
    </row>
    <row r="316">
      <c r="A316" s="4" t="n">
        <v>311</v>
      </c>
      <c r="B316" s="6" t="inlineStr">
        <is>
          <t>Select</t>
        </is>
      </c>
      <c r="C316" s="6" t="inlineStr">
        <is>
          <t>Select Crustless Wheat Sandwich Bread 6s</t>
        </is>
      </c>
      <c r="D316" s="4" t="n">
        <v>10.9</v>
      </c>
      <c r="E316" s="4" t="inlineStr">
        <is>
          <t>Groceries</t>
        </is>
      </c>
      <c r="F316" s="4" t="inlineStr">
        <is>
          <t>Bread &amp; Bakery</t>
        </is>
      </c>
      <c r="G316" s="4" t="inlineStr">
        <is>
          <t>6SLICES</t>
        </is>
      </c>
      <c r="H316" s="4" t="n"/>
      <c r="I316" s="4">
        <f>IF(H316="","",VALUE(LEFT(H316,FIND("/",H316)-1))/VALUE(MID(H316,FIND("/",H316)+1,99)))</f>
        <v/>
      </c>
      <c r="J316" s="4" t="inlineStr">
        <is>
          <t>Second sandwich-bread pack is partly upside down; wheat variant inferred from packaging</t>
        </is>
      </c>
      <c r="K316" s="0" t="inlineStr">
        <is>
          <t>https://www.pns.hk/en/purchase-any-1-pc-of-baker-s-choice-prepacked-bread-cake-promo/c/ambrosial-redemption</t>
        </is>
      </c>
      <c r="L316" s="0" t="inlineStr">
        <is>
          <t>IMG_7059.HEIC</t>
        </is>
      </c>
    </row>
    <row r="317">
      <c r="A317" s="4" t="n">
        <v>312</v>
      </c>
      <c r="B317" s="6" t="inlineStr">
        <is>
          <t>Select</t>
        </is>
      </c>
      <c r="C317" s="6" t="inlineStr">
        <is>
          <t>Select Sourdough Bagel</t>
        </is>
      </c>
      <c r="D317" s="4" t="n">
        <v>25</v>
      </c>
      <c r="E317" s="4" t="inlineStr">
        <is>
          <t>Groceries</t>
        </is>
      </c>
      <c r="F317" s="4" t="inlineStr">
        <is>
          <t>Bread &amp; Bakery</t>
        </is>
      </c>
      <c r="G317" s="4" t="inlineStr">
        <is>
          <t>4PCS</t>
        </is>
      </c>
      <c r="H317" s="4" t="n"/>
      <c r="I317" s="4">
        <f>IF(H317="","",VALUE(LEFT(H317,FIND("/",H317)-1))/VALUE(MID(H317,FIND("/",H317)+1,99)))</f>
        <v/>
      </c>
      <c r="J317" s="4" t="n"/>
      <c r="K317" s="0" t="inlineStr">
        <is>
          <t>https://www.pns.hk/en/sourdough-bagel/p/BP_72909</t>
        </is>
      </c>
      <c r="L317" s="0" t="inlineStr">
        <is>
          <t>IMG_7059.HEIC</t>
        </is>
      </c>
    </row>
    <row r="318">
      <c r="A318" s="4" t="n">
        <v>313</v>
      </c>
      <c r="B318" s="6" t="inlineStr">
        <is>
          <t>Select</t>
        </is>
      </c>
      <c r="C318" s="6" t="inlineStr">
        <is>
          <t>Select Triple Cheese Sourdough Bagel</t>
        </is>
      </c>
      <c r="D318" s="4" t="n">
        <v>29</v>
      </c>
      <c r="E318" s="4" t="inlineStr">
        <is>
          <t>Groceries</t>
        </is>
      </c>
      <c r="F318" s="4" t="inlineStr">
        <is>
          <t>Bread &amp; Bakery</t>
        </is>
      </c>
      <c r="G318" s="4" t="inlineStr">
        <is>
          <t>4PCS</t>
        </is>
      </c>
      <c r="H318" s="4" t="n"/>
      <c r="I318" s="4">
        <f>IF(H318="","",VALUE(LEFT(H318,FIND("/",H318)-1))/VALUE(MID(H318,FIND("/",H318)+1,99)))</f>
        <v/>
      </c>
      <c r="J318" s="4" t="n"/>
      <c r="K318" s="0" t="inlineStr">
        <is>
          <t>https://www.pns.hk/en/triple-cheese-sourdough-bagel/p/BP_72911</t>
        </is>
      </c>
      <c r="L318" s="0" t="inlineStr">
        <is>
          <t>IMG_7059.HEIC</t>
        </is>
      </c>
    </row>
    <row r="319">
      <c r="A319" s="4" t="n">
        <v>314</v>
      </c>
      <c r="B319" s="6" t="inlineStr">
        <is>
          <t>Select</t>
        </is>
      </c>
      <c r="C319" s="6" t="inlineStr">
        <is>
          <t>Select Wheat Sourdough Toast</t>
        </is>
      </c>
      <c r="D319" s="4" t="n">
        <v>22</v>
      </c>
      <c r="E319" s="4" t="inlineStr">
        <is>
          <t>Groceries</t>
        </is>
      </c>
      <c r="F319" s="4" t="inlineStr">
        <is>
          <t>Bread &amp; Bakery</t>
        </is>
      </c>
      <c r="G319" s="4" t="inlineStr">
        <is>
          <t>4PCS</t>
        </is>
      </c>
      <c r="H319" s="4" t="n"/>
      <c r="I319" s="4">
        <f>IF(H319="","",VALUE(LEFT(H319,FIND("/",H319)-1))/VALUE(MID(H319,FIND("/",H319)+1,99)))</f>
        <v/>
      </c>
      <c r="J319" s="4" t="inlineStr">
        <is>
          <t>Image label says Wheat Sourdough Bread; catalogue name is Wheat Sourdough Toast</t>
        </is>
      </c>
      <c r="K319" s="0" t="inlineStr">
        <is>
          <t>https://www.pns.hk/en/wheat-sourdough-toast/p/BP_72905</t>
        </is>
      </c>
      <c r="L319" s="0" t="inlineStr">
        <is>
          <t>IMG_7059.HEIC</t>
        </is>
      </c>
    </row>
    <row r="320">
      <c r="A320" s="4" t="n">
        <v>315</v>
      </c>
      <c r="B320" s="6" t="inlineStr">
        <is>
          <t>Select</t>
        </is>
      </c>
      <c r="C320" s="6" t="inlineStr">
        <is>
          <t>Select Apricot Rye Sourdough Toast</t>
        </is>
      </c>
      <c r="D320" s="4" t="n">
        <v>26</v>
      </c>
      <c r="E320" s="4" t="inlineStr">
        <is>
          <t>Groceries</t>
        </is>
      </c>
      <c r="F320" s="4" t="inlineStr">
        <is>
          <t>Bread &amp; Bakery</t>
        </is>
      </c>
      <c r="G320" s="4" t="inlineStr">
        <is>
          <t>4PCS</t>
        </is>
      </c>
      <c r="H320" s="4" t="n"/>
      <c r="I320" s="4">
        <f>IF(H320="","",VALUE(LEFT(H320,FIND("/",H320)-1))/VALUE(MID(H320,FIND("/",H320)+1,99)))</f>
        <v/>
      </c>
      <c r="J320" s="4" t="inlineStr">
        <is>
          <t>Image label says Apricot Sourdough Bread; rye variant matched to catalogue</t>
        </is>
      </c>
      <c r="K320" s="0" t="inlineStr">
        <is>
          <t>https://www.pns.hk/en/apricot-rye-sourdough-toast/p/BP_72907</t>
        </is>
      </c>
      <c r="L320" s="0" t="inlineStr">
        <is>
          <t>IMG_7059.HEIC</t>
        </is>
      </c>
    </row>
    <row r="321">
      <c r="A321" s="4" t="n">
        <v>316</v>
      </c>
      <c r="B321" s="6" t="inlineStr">
        <is>
          <t>Select</t>
        </is>
      </c>
      <c r="C321" s="6" t="inlineStr">
        <is>
          <t>Select Fig And Walnut Sourdough Toast</t>
        </is>
      </c>
      <c r="D321" s="4" t="n">
        <v>20</v>
      </c>
      <c r="E321" s="4" t="inlineStr">
        <is>
          <t>Groceries</t>
        </is>
      </c>
      <c r="F321" s="4" t="inlineStr">
        <is>
          <t>Bread &amp; Bakery</t>
        </is>
      </c>
      <c r="G321" s="4" t="inlineStr">
        <is>
          <t>4PCS</t>
        </is>
      </c>
      <c r="H321" s="4" t="n"/>
      <c r="I321" s="4">
        <f>IF(H321="","",VALUE(LEFT(H321,FIND("/",H321)-1))/VALUE(MID(H321,FIND("/",H321)+1,99)))</f>
        <v/>
      </c>
      <c r="J321" s="4" t="inlineStr">
        <is>
          <t>Image label says Fig &amp; Nut Sourdough Bread; catalogue name is Fig And Walnut Sourdough Toast</t>
        </is>
      </c>
      <c r="K321" s="0" t="inlineStr">
        <is>
          <t>https://www.pns.hk/en/fig-and-walnut-sourdough-toast/p/BP_72906</t>
        </is>
      </c>
      <c r="L321" s="0" t="inlineStr">
        <is>
          <t>IMG_7059.HEIC</t>
        </is>
      </c>
    </row>
    <row r="322">
      <c r="A322" s="4" t="n">
        <v>317</v>
      </c>
      <c r="B322" s="6" t="inlineStr">
        <is>
          <t>Select</t>
        </is>
      </c>
      <c r="C322" s="6" t="inlineStr">
        <is>
          <t>Select Soft Raisin Bread</t>
        </is>
      </c>
      <c r="D322" s="4" t="n">
        <v>18.5</v>
      </c>
      <c r="E322" s="4" t="inlineStr">
        <is>
          <t>Groceries</t>
        </is>
      </c>
      <c r="F322" s="4" t="inlineStr">
        <is>
          <t>Bread &amp; Bakery</t>
        </is>
      </c>
      <c r="G322" s="4" t="inlineStr">
        <is>
          <t>6SLICES</t>
        </is>
      </c>
      <c r="H322" s="4" t="n"/>
      <c r="I322" s="4">
        <f>IF(H322="","",VALUE(LEFT(H322,FIND("/",H322)-1))/VALUE(MID(H322,FIND("/",H322)+1,99)))</f>
        <v/>
      </c>
      <c r="J322" s="4" t="n"/>
      <c r="K322" s="0" t="inlineStr">
        <is>
          <t>https://www.pns.hk/en/food-beverages/sandwich/c/04110105</t>
        </is>
      </c>
      <c r="L322" s="0" t="inlineStr">
        <is>
          <t>IMG_7059.HEIC</t>
        </is>
      </c>
    </row>
    <row r="323">
      <c r="A323" s="4" t="n">
        <v>318</v>
      </c>
      <c r="B323" s="6" t="inlineStr">
        <is>
          <t>Select</t>
        </is>
      </c>
      <c r="C323" s="6" t="inlineStr">
        <is>
          <t>Select Whole Wheat Sandwich Bread 8s</t>
        </is>
      </c>
      <c r="D323" s="4" t="n">
        <v>12.5</v>
      </c>
      <c r="E323" s="4" t="inlineStr">
        <is>
          <t>Groceries</t>
        </is>
      </c>
      <c r="F323" s="4" t="inlineStr">
        <is>
          <t>Bread &amp; Bakery</t>
        </is>
      </c>
      <c r="G323" s="4" t="inlineStr">
        <is>
          <t>8SLICES</t>
        </is>
      </c>
      <c r="H323" s="4" t="n"/>
      <c r="I323" s="4">
        <f>IF(H323="","",VALUE(LEFT(H323,FIND("/",H323)-1))/VALUE(MID(H323,FIND("/",H323)+1,99)))</f>
        <v/>
      </c>
      <c r="J323" s="4" t="n"/>
      <c r="K323" s="0" t="inlineStr">
        <is>
          <t>https://www.pns.hk/en/food-beverages/sandwich/c/04110105</t>
        </is>
      </c>
      <c r="L323" s="0" t="inlineStr">
        <is>
          <t>IMG_7059.HEIC</t>
        </is>
      </c>
    </row>
    <row r="324">
      <c r="A324" s="4" t="n">
        <v>319</v>
      </c>
      <c r="B324" s="6" t="inlineStr">
        <is>
          <t>Select</t>
        </is>
      </c>
      <c r="C324" s="6" t="inlineStr">
        <is>
          <t>Select Multi-grain English Bread</t>
        </is>
      </c>
      <c r="D324" s="4" t="n">
        <v>17.5</v>
      </c>
      <c r="E324" s="4" t="inlineStr">
        <is>
          <t>Groceries</t>
        </is>
      </c>
      <c r="F324" s="4" t="inlineStr">
        <is>
          <t>Bread &amp; Bakery</t>
        </is>
      </c>
      <c r="G324" s="4" t="inlineStr">
        <is>
          <t>6SLICES</t>
        </is>
      </c>
      <c r="H324" s="4" t="n"/>
      <c r="I324" s="4">
        <f>IF(H324="","",VALUE(LEFT(H324,FIND("/",H324)-1))/VALUE(MID(H324,FIND("/",H324)+1,99)))</f>
        <v/>
      </c>
      <c r="J324" s="4" t="n"/>
      <c r="K324" s="0" t="inlineStr">
        <is>
          <t>https://www.pns.hk/en/food-beverages/sandwich/c/04110105</t>
        </is>
      </c>
      <c r="L324" s="0" t="inlineStr">
        <is>
          <t>IMG_7059.HEIC</t>
        </is>
      </c>
    </row>
    <row r="325">
      <c r="A325" s="4" t="n">
        <v>320</v>
      </c>
      <c r="B325" s="6" t="inlineStr">
        <is>
          <t>Select</t>
        </is>
      </c>
      <c r="C325" s="6" t="inlineStr">
        <is>
          <t>Unknown Select 7-grain English bread variant</t>
        </is>
      </c>
      <c r="D325" s="4" t="n">
        <v>19.5</v>
      </c>
      <c r="E325" s="4" t="inlineStr">
        <is>
          <t>Groceries</t>
        </is>
      </c>
      <c r="F325" s="4" t="inlineStr">
        <is>
          <t>Bread &amp; Bakery</t>
        </is>
      </c>
      <c r="G325" s="4" t="inlineStr">
        <is>
          <t>6SLICES</t>
        </is>
      </c>
      <c r="H325" s="4" t="n"/>
      <c r="I325" s="4">
        <f>IF(H325="","",VALUE(LEFT(H325,FIND("/",H325)-1))/VALUE(MID(H325,FIND("/",H325)+1,99)))</f>
        <v/>
      </c>
      <c r="J325" s="4" t="inlineStr">
        <is>
          <t>Front label appears to say 7-GRAIN ENGLISH BREAD; exact catalogue variant unclear</t>
        </is>
      </c>
      <c r="K325" s="0" t="inlineStr">
        <is>
          <t>https://www.pns.hk/en/food-beverages/bakery/c/04110100</t>
        </is>
      </c>
      <c r="L325" s="0" t="inlineStr">
        <is>
          <t>IMG_7059.HEIC</t>
        </is>
      </c>
    </row>
    <row r="326">
      <c r="A326" s="4" t="n">
        <v>321</v>
      </c>
      <c r="B326" s="6" t="inlineStr">
        <is>
          <t>Unknown</t>
        </is>
      </c>
      <c r="C326" s="6" t="inlineStr">
        <is>
          <t>Unknown packaged bakery product (bottom shelf, far left)</t>
        </is>
      </c>
      <c r="D326" s="4" t="n"/>
      <c r="E326" s="4" t="inlineStr">
        <is>
          <t>Groceries</t>
        </is>
      </c>
      <c r="F326" s="4" t="inlineStr">
        <is>
          <t>Bread &amp; Bakery</t>
        </is>
      </c>
      <c r="G326" s="4" t="inlineStr">
        <is>
          <t>Unknown</t>
        </is>
      </c>
      <c r="H326" s="4" t="n"/>
      <c r="I326" s="4">
        <f>IF(H326="","",VALUE(LEFT(H326,FIND("/",H326)-1))/VALUE(MID(H326,FIND("/",H326)+1,99)))</f>
        <v/>
      </c>
      <c r="J326" s="4" t="inlineStr">
        <is>
          <t>White/yellow package visible but product label and price are unreadable</t>
        </is>
      </c>
      <c r="K326" s="0" t="str"/>
      <c r="L326" s="0" t="inlineStr">
        <is>
          <t>IMG_7059.HEIC</t>
        </is>
      </c>
    </row>
    <row r="327">
      <c r="A327" s="4" t="n">
        <v>322</v>
      </c>
      <c r="B327" s="6" t="inlineStr">
        <is>
          <t>Unknown</t>
        </is>
      </c>
      <c r="C327" s="6" t="inlineStr">
        <is>
          <t>Unknown packaged bakery product (bottom shelf, left)</t>
        </is>
      </c>
      <c r="D327" s="4" t="n"/>
      <c r="E327" s="4" t="inlineStr">
        <is>
          <t>Groceries</t>
        </is>
      </c>
      <c r="F327" s="4" t="inlineStr">
        <is>
          <t>Bread &amp; Bakery</t>
        </is>
      </c>
      <c r="G327" s="4" t="inlineStr">
        <is>
          <t>Unknown</t>
        </is>
      </c>
      <c r="H327" s="4" t="n"/>
      <c r="I327" s="4">
        <f>IF(H327="","",VALUE(LEFT(H327,FIND("/",H327)-1))/VALUE(MID(H327,FIND("/",H327)+1,99)))</f>
        <v/>
      </c>
      <c r="J327" s="4" t="inlineStr">
        <is>
          <t>White/yellow package visible but product label and price are unreadable</t>
        </is>
      </c>
      <c r="K327" s="0" t="str"/>
      <c r="L327" s="0" t="inlineStr">
        <is>
          <t>IMG_7059.HEIC</t>
        </is>
      </c>
    </row>
    <row r="328">
      <c r="A328" s="4" t="n">
        <v>323</v>
      </c>
      <c r="B328" s="6" t="inlineStr">
        <is>
          <t>Select</t>
        </is>
      </c>
      <c r="C328" s="6" t="inlineStr">
        <is>
          <t>Select Soft Japanese Style Cake Roll (flavour unclear)</t>
        </is>
      </c>
      <c r="D328" s="4" t="n"/>
      <c r="E328" s="4" t="inlineStr">
        <is>
          <t>Groceries</t>
        </is>
      </c>
      <c r="F328" s="4" t="inlineStr">
        <is>
          <t>Bread &amp; Bakery</t>
        </is>
      </c>
      <c r="G328" s="4" t="inlineStr">
        <is>
          <t>1PC</t>
        </is>
      </c>
      <c r="H328" s="4" t="n"/>
      <c r="I328" s="4">
        <f>IF(H328="","",VALUE(LEFT(H328,FIND("/",H328)-1))/VALUE(MID(H328,FIND("/",H328)+1,99)))</f>
        <v/>
      </c>
      <c r="J328" s="4" t="inlineStr">
        <is>
          <t>Two front-facing cake-roll packs visible; flavour text is obscured and shelf price is out of frame</t>
        </is>
      </c>
      <c r="K328" s="0" t="inlineStr">
        <is>
          <t>https://www.pns.hk/en/food-beverages/cake/c/04110102</t>
        </is>
      </c>
      <c r="L328" s="0" t="inlineStr">
        <is>
          <t>IMG_7059.HEIC</t>
        </is>
      </c>
    </row>
    <row r="329">
      <c r="A329" s="4" t="n">
        <v>324</v>
      </c>
      <c r="B329" s="6" t="inlineStr">
        <is>
          <t>Unknown</t>
        </is>
      </c>
      <c r="C329" s="6" t="inlineStr">
        <is>
          <t>Unknown packaged bakery product (bottom shelf, black label)</t>
        </is>
      </c>
      <c r="D329" s="4" t="n"/>
      <c r="E329" s="4" t="inlineStr">
        <is>
          <t>Groceries</t>
        </is>
      </c>
      <c r="F329" s="4" t="inlineStr">
        <is>
          <t>Bread &amp; Bakery</t>
        </is>
      </c>
      <c r="G329" s="4" t="inlineStr">
        <is>
          <t>Unknown</t>
        </is>
      </c>
      <c r="H329" s="4" t="n"/>
      <c r="I329" s="4">
        <f>IF(H329="","",VALUE(LEFT(H329,FIND("/",H329)-1))/VALUE(MID(H329,FIND("/",H329)+1,99)))</f>
        <v/>
      </c>
      <c r="J329" s="4" t="inlineStr">
        <is>
          <t>Product label and price are unreadable</t>
        </is>
      </c>
      <c r="K329" s="0" t="str"/>
      <c r="L329" s="0" t="inlineStr">
        <is>
          <t>IMG_7059.HEIC</t>
        </is>
      </c>
    </row>
    <row r="330">
      <c r="A330" s="4" t="n">
        <v>325</v>
      </c>
      <c r="B330" s="6" t="inlineStr">
        <is>
          <t>Unknown</t>
        </is>
      </c>
      <c r="C330" s="6" t="inlineStr">
        <is>
          <t>Unknown packaged bakery product (bottom shelf, dark red pack)</t>
        </is>
      </c>
      <c r="D330" s="4" t="n"/>
      <c r="E330" s="4" t="inlineStr">
        <is>
          <t>Groceries</t>
        </is>
      </c>
      <c r="F330" s="4" t="inlineStr">
        <is>
          <t>Bread &amp; Bakery</t>
        </is>
      </c>
      <c r="G330" s="4" t="inlineStr">
        <is>
          <t>Unknown</t>
        </is>
      </c>
      <c r="H330" s="4" t="n"/>
      <c r="I330" s="4">
        <f>IF(H330="","",VALUE(LEFT(H330,FIND("/",H330)-1))/VALUE(MID(H330,FIND("/",H330)+1,99)))</f>
        <v/>
      </c>
      <c r="J330" s="4" t="inlineStr">
        <is>
          <t>Product label and price are unreadable</t>
        </is>
      </c>
      <c r="K330" s="0" t="str"/>
      <c r="L330" s="0" t="inlineStr">
        <is>
          <t>IMG_7059.HEIC</t>
        </is>
      </c>
    </row>
    <row r="331">
      <c r="A331" s="4" t="n">
        <v>326</v>
      </c>
      <c r="B331" s="6" t="inlineStr">
        <is>
          <t>Unknown</t>
        </is>
      </c>
      <c r="C331" s="6" t="inlineStr">
        <is>
          <t>Unknown packaged bakery product (bottom shelf, green pack)</t>
        </is>
      </c>
      <c r="D331" s="4" t="n"/>
      <c r="E331" s="4" t="inlineStr">
        <is>
          <t>Groceries</t>
        </is>
      </c>
      <c r="F331" s="4" t="inlineStr">
        <is>
          <t>Bread &amp; Bakery</t>
        </is>
      </c>
      <c r="G331" s="4" t="inlineStr">
        <is>
          <t>Unknown</t>
        </is>
      </c>
      <c r="H331" s="4" t="n"/>
      <c r="I331" s="4">
        <f>IF(H331="","",VALUE(LEFT(H331,FIND("/",H331)-1))/VALUE(MID(H331,FIND("/",H331)+1,99)))</f>
        <v/>
      </c>
      <c r="J331" s="4" t="inlineStr">
        <is>
          <t>Product label and price are unreadable</t>
        </is>
      </c>
      <c r="K331" s="0" t="str"/>
      <c r="L331" s="0" t="inlineStr">
        <is>
          <t>IMG_7059.HEIC</t>
        </is>
      </c>
    </row>
    <row r="332">
      <c r="A332" s="4" t="n">
        <v>327</v>
      </c>
      <c r="B332" s="6" t="inlineStr">
        <is>
          <t>Unknown</t>
        </is>
      </c>
      <c r="C332" s="6" t="inlineStr">
        <is>
          <t>Unknown packaged bakery product (bottom shelf, yellow pack)</t>
        </is>
      </c>
      <c r="D332" s="4" t="n"/>
      <c r="E332" s="4" t="inlineStr">
        <is>
          <t>Groceries</t>
        </is>
      </c>
      <c r="F332" s="4" t="inlineStr">
        <is>
          <t>Bread &amp; Bakery</t>
        </is>
      </c>
      <c r="G332" s="4" t="inlineStr">
        <is>
          <t>Unknown</t>
        </is>
      </c>
      <c r="H332" s="4" t="n"/>
      <c r="I332" s="4">
        <f>IF(H332="","",VALUE(LEFT(H332,FIND("/",H332)-1))/VALUE(MID(H332,FIND("/",H332)+1,99)))</f>
        <v/>
      </c>
      <c r="J332" s="4" t="inlineStr">
        <is>
          <t>Product label and price are unreadable</t>
        </is>
      </c>
      <c r="K332" s="0" t="str"/>
      <c r="L332" s="0" t="inlineStr">
        <is>
          <t>IMG_7059.HEIC</t>
        </is>
      </c>
    </row>
    <row r="333">
      <c r="A333" s="4" t="n">
        <v>328</v>
      </c>
      <c r="B333" s="6" t="inlineStr">
        <is>
          <t>Unknown</t>
        </is>
      </c>
      <c r="C333" s="6" t="inlineStr">
        <is>
          <t>Unknown packaged bakery product (bottom shelf, pink/red pack)</t>
        </is>
      </c>
      <c r="D333" s="4" t="n"/>
      <c r="E333" s="4" t="inlineStr">
        <is>
          <t>Groceries</t>
        </is>
      </c>
      <c r="F333" s="4" t="inlineStr">
        <is>
          <t>Bread &amp; Bakery</t>
        </is>
      </c>
      <c r="G333" s="4" t="inlineStr">
        <is>
          <t>Unknown</t>
        </is>
      </c>
      <c r="H333" s="4" t="n"/>
      <c r="I333" s="4">
        <f>IF(H333="","",VALUE(LEFT(H333,FIND("/",H333)-1))/VALUE(MID(H333,FIND("/",H333)+1,99)))</f>
        <v/>
      </c>
      <c r="J333" s="4" t="inlineStr">
        <is>
          <t>Product label and price are unreadable</t>
        </is>
      </c>
      <c r="K333" s="0" t="str"/>
      <c r="L333" s="0" t="inlineStr">
        <is>
          <t>IMG_7059.HEIC</t>
        </is>
      </c>
    </row>
    <row r="334">
      <c r="A334" s="4" t="n">
        <v>329</v>
      </c>
      <c r="B334" s="6" t="inlineStr">
        <is>
          <t>Unknown</t>
        </is>
      </c>
      <c r="C334" s="6" t="inlineStr">
        <is>
          <t>Strawberry Flavour Drinking Yoghurt (case; brand unclear)</t>
        </is>
      </c>
      <c r="D334" s="4" t="n"/>
      <c r="E334" s="4" t="inlineStr">
        <is>
          <t>Fresh Food</t>
        </is>
      </c>
      <c r="F334" s="4" t="inlineStr">
        <is>
          <t>Dairy</t>
        </is>
      </c>
      <c r="G334" s="4" t="inlineStr">
        <is>
          <t>Unknown</t>
        </is>
      </c>
      <c r="H334" s="4" t="n"/>
      <c r="I334" s="4">
        <f>IF(H334="","",VALUE(LEFT(H334,FIND("/",H334)-1))/VALUE(MID(H334,FIND("/",H334)+1,99)))</f>
        <v/>
      </c>
      <c r="J334" s="4" t="inlineStr">
        <is>
          <t>Partial top-shelf case; brand, size and price are not fully readable from IMG_7060</t>
        </is>
      </c>
      <c r="K334" s="0" t="str"/>
      <c r="L334" s="0" t="inlineStr">
        <is>
          <t>IMG_7060.HEIC</t>
        </is>
      </c>
    </row>
    <row r="335">
      <c r="A335" s="4" t="n">
        <v>330</v>
      </c>
      <c r="B335" s="6" t="inlineStr">
        <is>
          <t>Pauls</t>
        </is>
      </c>
      <c r="C335" s="6" t="inlineStr">
        <is>
          <t>Pauls Skimmed Milk</t>
        </is>
      </c>
      <c r="D335" s="4" t="n"/>
      <c r="E335" s="4" t="inlineStr">
        <is>
          <t>Fresh Food</t>
        </is>
      </c>
      <c r="F335" s="4" t="inlineStr">
        <is>
          <t>Dairy</t>
        </is>
      </c>
      <c r="G335" s="4" t="inlineStr">
        <is>
          <t>4x6x250ML</t>
        </is>
      </c>
      <c r="H335" s="4" t="n"/>
      <c r="I335" s="4">
        <f>IF(H335="","",VALUE(LEFT(H335,FIND("/",H335)-1))/VALUE(MID(H335,FIND("/",H335)+1,99)))</f>
        <v/>
      </c>
      <c r="J335" s="4" t="inlineStr">
        <is>
          <t>Partial top-shelf case; price is out of frame</t>
        </is>
      </c>
      <c r="K335" s="0" t="inlineStr">
        <is>
          <t>https://www.pns.hk/en/search?text=Pauls%20Skimmed%20Milk</t>
        </is>
      </c>
      <c r="L335" s="0" t="inlineStr">
        <is>
          <t>IMG_7060.HEIC</t>
        </is>
      </c>
    </row>
    <row r="336">
      <c r="A336" s="4" t="n">
        <v>331</v>
      </c>
      <c r="B336" s="6" t="inlineStr">
        <is>
          <t>Dutch Lady</t>
        </is>
      </c>
      <c r="C336" s="6" t="inlineStr">
        <is>
          <t>Dutch Lady Chocolate Milk Beverage</t>
        </is>
      </c>
      <c r="D336" s="4" t="n"/>
      <c r="E336" s="4" t="inlineStr">
        <is>
          <t>Fresh Food</t>
        </is>
      </c>
      <c r="F336" s="4" t="inlineStr">
        <is>
          <t>Dairy</t>
        </is>
      </c>
      <c r="G336" s="4" t="inlineStr">
        <is>
          <t>225ML x 6</t>
        </is>
      </c>
      <c r="H336" s="4" t="n"/>
      <c r="I336" s="4">
        <f>IF(H336="","",VALUE(LEFT(H336,FIND("/",H336)-1))/VALUE(MID(H336,FIND("/",H336)+1,99)))</f>
        <v/>
      </c>
      <c r="J336" s="4" t="inlineStr">
        <is>
          <t>Partial top-shelf case; price is out of frame</t>
        </is>
      </c>
      <c r="K336" s="0" t="inlineStr">
        <is>
          <t>https://www.pns.hk/en/all-brands/b/104659/dutch-lady</t>
        </is>
      </c>
      <c r="L336" s="0" t="inlineStr">
        <is>
          <t>IMG_7060.HEIC</t>
        </is>
      </c>
    </row>
    <row r="337">
      <c r="A337" s="4" t="n">
        <v>332</v>
      </c>
      <c r="B337" s="6" t="inlineStr">
        <is>
          <t>Unknown</t>
        </is>
      </c>
      <c r="C337" s="6" t="inlineStr">
        <is>
          <t>Unknown packaged dairy/beverage case (green/red 6 packs)</t>
        </is>
      </c>
      <c r="D337" s="4" t="n"/>
      <c r="E337" s="4" t="inlineStr">
        <is>
          <t>Groceries</t>
        </is>
      </c>
      <c r="F337" s="4" t="inlineStr">
        <is>
          <t>Drinks</t>
        </is>
      </c>
      <c r="G337" s="4" t="inlineStr">
        <is>
          <t>Unknown</t>
        </is>
      </c>
      <c r="H337" s="4" t="n"/>
      <c r="I337" s="4">
        <f>IF(H337="","",VALUE(LEFT(H337,FIND("/",H337)-1))/VALUE(MID(H337,FIND("/",H337)+1,99)))</f>
        <v/>
      </c>
      <c r="J337" s="4" t="inlineStr">
        <is>
          <t>Partial top-shelf packaging; product identity and price unclear</t>
        </is>
      </c>
      <c r="K337" s="0" t="str"/>
      <c r="L337" s="0" t="inlineStr">
        <is>
          <t>IMG_7060.HEIC</t>
        </is>
      </c>
    </row>
    <row r="338">
      <c r="A338" s="4" t="n">
        <v>333</v>
      </c>
      <c r="B338" s="6" t="inlineStr">
        <is>
          <t>Unknown</t>
        </is>
      </c>
      <c r="C338" s="6" t="inlineStr">
        <is>
          <t>Unknown packaged dairy/beverage case (blue/red packs)</t>
        </is>
      </c>
      <c r="D338" s="4" t="n"/>
      <c r="E338" s="4" t="inlineStr">
        <is>
          <t>Groceries</t>
        </is>
      </c>
      <c r="F338" s="4" t="inlineStr">
        <is>
          <t>Drinks</t>
        </is>
      </c>
      <c r="G338" s="4" t="inlineStr">
        <is>
          <t>Unknown</t>
        </is>
      </c>
      <c r="H338" s="4" t="n"/>
      <c r="I338" s="4">
        <f>IF(H338="","",VALUE(LEFT(H338,FIND("/",H338)-1))/VALUE(MID(H338,FIND("/",H338)+1,99)))</f>
        <v/>
      </c>
      <c r="J338" s="4" t="inlineStr">
        <is>
          <t>Partial top-shelf packaging; product identity and price unclear</t>
        </is>
      </c>
      <c r="K338" s="0" t="str"/>
      <c r="L338" s="0" t="inlineStr">
        <is>
          <t>IMG_7060.HEIC</t>
        </is>
      </c>
    </row>
    <row r="339">
      <c r="A339" s="4" t="n">
        <v>334</v>
      </c>
      <c r="B339" s="6" t="inlineStr">
        <is>
          <t>Carnation</t>
        </is>
      </c>
      <c r="C339" s="6" t="inlineStr">
        <is>
          <t>Carnation milk product (partial can/package)</t>
        </is>
      </c>
      <c r="D339" s="4" t="n"/>
      <c r="E339" s="4" t="inlineStr">
        <is>
          <t>Groceries</t>
        </is>
      </c>
      <c r="F339" s="4" t="inlineStr">
        <is>
          <t>Canned Goods</t>
        </is>
      </c>
      <c r="G339" s="4" t="inlineStr">
        <is>
          <t>Unknown</t>
        </is>
      </c>
      <c r="H339" s="4" t="n"/>
      <c r="I339" s="4">
        <f>IF(H339="","",VALUE(LEFT(H339,FIND("/",H339)-1))/VALUE(MID(H339,FIND("/",H339)+1,99)))</f>
        <v/>
      </c>
      <c r="J339" s="4" t="inlineStr">
        <is>
          <t>Only the brand and part of the package are visible at the top-right edge</t>
        </is>
      </c>
      <c r="K339" s="0" t="str"/>
      <c r="L339" s="0" t="inlineStr">
        <is>
          <t>IMG_7060.HEIC</t>
        </is>
      </c>
    </row>
    <row r="340">
      <c r="A340" s="4" t="n">
        <v>335</v>
      </c>
      <c r="B340" s="6" t="inlineStr">
        <is>
          <t>Black &amp; White</t>
        </is>
      </c>
      <c r="C340" s="6" t="inlineStr">
        <is>
          <t>Black &amp; White Pure Milk</t>
        </is>
      </c>
      <c r="D340" s="4" t="n">
        <v>25</v>
      </c>
      <c r="E340" s="4" t="inlineStr">
        <is>
          <t>Fresh Food</t>
        </is>
      </c>
      <c r="F340" s="4" t="inlineStr">
        <is>
          <t>Dairy</t>
        </is>
      </c>
      <c r="G340" s="4" t="inlineStr">
        <is>
          <t>1L</t>
        </is>
      </c>
      <c r="H340" s="4" t="n"/>
      <c r="I340" s="4">
        <f>IF(H340="","",VALUE(LEFT(H340,FIND("/",H340)-1))/VALUE(MID(H340,FIND("/",H340)+1,99)))</f>
        <v/>
      </c>
      <c r="J340" s="4" t="inlineStr">
        <is>
          <t>Left-edge partial carton; product variant matched to PNS catalogue</t>
        </is>
      </c>
      <c r="K340" s="0" t="inlineStr">
        <is>
          <t>https://www.pns.hk/en/c/categoryoffer88</t>
        </is>
      </c>
      <c r="L340" s="0" t="inlineStr">
        <is>
          <t>IMG_7060.HEIC</t>
        </is>
      </c>
    </row>
    <row r="341">
      <c r="A341" s="4" t="n">
        <v>336</v>
      </c>
      <c r="B341" s="6" t="inlineStr">
        <is>
          <t>OATSIDE</t>
        </is>
      </c>
      <c r="C341" s="6" t="inlineStr">
        <is>
          <t>OATSIDE Oatmilk Barista Blend</t>
        </is>
      </c>
      <c r="D341" s="4" t="n">
        <v>25</v>
      </c>
      <c r="E341" s="4" t="inlineStr">
        <is>
          <t>Groceries</t>
        </is>
      </c>
      <c r="F341" s="4" t="inlineStr">
        <is>
          <t>Drinks</t>
        </is>
      </c>
      <c r="G341" s="4" t="inlineStr">
        <is>
          <t>1L</t>
        </is>
      </c>
      <c r="H341" s="4" t="n"/>
      <c r="I341" s="4">
        <f>IF(H341="","",VALUE(LEFT(H341,FIND("/",H341)-1))/VALUE(MID(H341,FIND("/",H341)+1,99)))</f>
        <v/>
      </c>
      <c r="J341" s="4" t="inlineStr">
        <is>
          <t>Discounted; OP = 36.0</t>
        </is>
      </c>
      <c r="K341" s="0" t="inlineStr">
        <is>
          <t>https://www.pns.hk/en/c/categoryoffer88</t>
        </is>
      </c>
      <c r="L341" s="0" t="inlineStr">
        <is>
          <t>IMG_7060.HEIC</t>
        </is>
      </c>
    </row>
    <row r="342">
      <c r="A342" s="4" t="n">
        <v>337</v>
      </c>
      <c r="B342" s="6" t="inlineStr">
        <is>
          <t>GOODMATE</t>
        </is>
      </c>
      <c r="C342" s="6" t="inlineStr">
        <is>
          <t>GOODMATE The Original Oatmilk</t>
        </is>
      </c>
      <c r="D342" s="4" t="n">
        <v>35</v>
      </c>
      <c r="E342" s="4" t="inlineStr">
        <is>
          <t>Groceries</t>
        </is>
      </c>
      <c r="F342" s="4" t="inlineStr">
        <is>
          <t>Drinks</t>
        </is>
      </c>
      <c r="G342" s="4" t="inlineStr">
        <is>
          <t>3x180ML</t>
        </is>
      </c>
      <c r="H342" s="4" t="n"/>
      <c r="I342" s="4">
        <f>IF(H342="","",VALUE(LEFT(H342,FIND("/",H342)-1))/VALUE(MID(H342,FIND("/",H342)+1,99)))</f>
        <v/>
      </c>
      <c r="J342" s="4" t="n"/>
      <c r="K342" s="0" t="inlineStr">
        <is>
          <t>https://www.pns.hk/en/search?text=Oat-Milk</t>
        </is>
      </c>
      <c r="L342" s="0" t="inlineStr">
        <is>
          <t>IMG_7060.HEIC</t>
        </is>
      </c>
    </row>
    <row r="343">
      <c r="A343" s="4" t="n">
        <v>338</v>
      </c>
      <c r="B343" s="6" t="inlineStr">
        <is>
          <t>GOODMATE</t>
        </is>
      </c>
      <c r="C343" s="6" t="inlineStr">
        <is>
          <t>GOODMATE Chocolate Deluxe Oatmilk</t>
        </is>
      </c>
      <c r="D343" s="4" t="n">
        <v>25</v>
      </c>
      <c r="E343" s="4" t="inlineStr">
        <is>
          <t>Groceries</t>
        </is>
      </c>
      <c r="F343" s="4" t="inlineStr">
        <is>
          <t>Drinks</t>
        </is>
      </c>
      <c r="G343" s="4" t="inlineStr">
        <is>
          <t>3x180ML</t>
        </is>
      </c>
      <c r="H343" s="4" t="n"/>
      <c r="I343" s="4">
        <f>IF(H343="","",VALUE(LEFT(H343,FIND("/",H343)-1))/VALUE(MID(H343,FIND("/",H343)+1,99)))</f>
        <v/>
      </c>
      <c r="J343" s="4" t="inlineStr">
        <is>
          <t>Discounted; OP = 35.0</t>
        </is>
      </c>
      <c r="K343" s="0" t="inlineStr">
        <is>
          <t>https://www.pns.hk/en/chocolate-deluxe-oatmilk/p/BP_402060</t>
        </is>
      </c>
      <c r="L343" s="0" t="inlineStr">
        <is>
          <t>IMG_7060.HEIC</t>
        </is>
      </c>
    </row>
    <row r="344">
      <c r="A344" s="4" t="n">
        <v>339</v>
      </c>
      <c r="B344" s="6" t="inlineStr">
        <is>
          <t>GOODMATE</t>
        </is>
      </c>
      <c r="C344" s="6" t="inlineStr">
        <is>
          <t>GOODMATE The Original Oatmilk</t>
        </is>
      </c>
      <c r="D344" s="4" t="n">
        <v>35</v>
      </c>
      <c r="E344" s="4" t="inlineStr">
        <is>
          <t>Groceries</t>
        </is>
      </c>
      <c r="F344" s="4" t="inlineStr">
        <is>
          <t>Drinks</t>
        </is>
      </c>
      <c r="G344" s="4" t="inlineStr">
        <is>
          <t>1L</t>
        </is>
      </c>
      <c r="H344" s="4" t="n"/>
      <c r="I344" s="4">
        <f>IF(H344="","",VALUE(LEFT(H344,FIND("/",H344)-1))/VALUE(MID(H344,FIND("/",H344)+1,99)))</f>
        <v/>
      </c>
      <c r="J344" s="4" t="n"/>
      <c r="K344" s="0" t="inlineStr">
        <is>
          <t>https://www.pns.hk/en/search?text=Oat-Milk</t>
        </is>
      </c>
      <c r="L344" s="0" t="inlineStr">
        <is>
          <t>IMG_7060.HEIC</t>
        </is>
      </c>
    </row>
    <row r="345">
      <c r="A345" s="4" t="n">
        <v>340</v>
      </c>
      <c r="B345" s="6" t="inlineStr">
        <is>
          <t>GOODMATE</t>
        </is>
      </c>
      <c r="C345" s="6" t="inlineStr">
        <is>
          <t>GOODMATE Zero Sugar Oatmilk</t>
        </is>
      </c>
      <c r="D345" s="4" t="n">
        <v>35</v>
      </c>
      <c r="E345" s="4" t="inlineStr">
        <is>
          <t>Groceries</t>
        </is>
      </c>
      <c r="F345" s="4" t="inlineStr">
        <is>
          <t>Drinks</t>
        </is>
      </c>
      <c r="G345" s="4" t="inlineStr">
        <is>
          <t>1L</t>
        </is>
      </c>
      <c r="H345" s="4" t="n"/>
      <c r="I345" s="4">
        <f>IF(H345="","",VALUE(LEFT(H345,FIND("/",H345)-1))/VALUE(MID(H345,FIND("/",H345)+1,99)))</f>
        <v/>
      </c>
      <c r="J345" s="4" t="n"/>
      <c r="K345" s="0" t="inlineStr">
        <is>
          <t>https://www.pns.hk/en/zero-sugar-oatmilk/p/BP_402051</t>
        </is>
      </c>
      <c r="L345" s="0" t="inlineStr">
        <is>
          <t>IMG_7060.HEIC</t>
        </is>
      </c>
    </row>
    <row r="346">
      <c r="A346" s="4" t="n">
        <v>341</v>
      </c>
      <c r="B346" s="6" t="inlineStr">
        <is>
          <t>GOODMATE</t>
        </is>
      </c>
      <c r="C346" s="6" t="inlineStr">
        <is>
          <t>GOODMATE Chocolate Deluxe Oatmilk</t>
        </is>
      </c>
      <c r="D346" s="4" t="n">
        <v>35</v>
      </c>
      <c r="E346" s="4" t="inlineStr">
        <is>
          <t>Groceries</t>
        </is>
      </c>
      <c r="F346" s="4" t="inlineStr">
        <is>
          <t>Drinks</t>
        </is>
      </c>
      <c r="G346" s="4" t="inlineStr">
        <is>
          <t>1L</t>
        </is>
      </c>
      <c r="H346" s="4" t="n"/>
      <c r="I346" s="4">
        <f>IF(H346="","",VALUE(LEFT(H346,FIND("/",H346)-1))/VALUE(MID(H346,FIND("/",H346)+1,99)))</f>
        <v/>
      </c>
      <c r="J346" s="4" t="n"/>
      <c r="K346" s="0" t="inlineStr">
        <is>
          <t>https://www.pns.hk/en/search?text=Oat-Milk</t>
        </is>
      </c>
      <c r="L346" s="0" t="inlineStr">
        <is>
          <t>IMG_7060.HEIC</t>
        </is>
      </c>
    </row>
    <row r="347">
      <c r="A347" s="4" t="n">
        <v>342</v>
      </c>
      <c r="B347" s="6" t="inlineStr">
        <is>
          <t>137 DEGREES</t>
        </is>
      </c>
      <c r="C347" s="6" t="inlineStr">
        <is>
          <t>137 DEGREES Almond Milk Original</t>
        </is>
      </c>
      <c r="D347" s="4" t="n">
        <v>42</v>
      </c>
      <c r="E347" s="4" t="inlineStr">
        <is>
          <t>Groceries</t>
        </is>
      </c>
      <c r="F347" s="4" t="inlineStr">
        <is>
          <t>Drinks</t>
        </is>
      </c>
      <c r="G347" s="4" t="inlineStr">
        <is>
          <t>1L</t>
        </is>
      </c>
      <c r="H347" s="4" t="n"/>
      <c r="I347" s="4">
        <f>IF(H347="","",VALUE(LEFT(H347,FIND("/",H347)-1))/VALUE(MID(H347,FIND("/",H347)+1,99)))</f>
        <v/>
      </c>
      <c r="J347" s="4" t="n"/>
      <c r="K347" s="0" t="inlineStr">
        <is>
          <t>https://www.pns.hk/en/search?text=Almond%20Milk</t>
        </is>
      </c>
      <c r="L347" s="0" t="inlineStr">
        <is>
          <t>IMG_7060.HEIC</t>
        </is>
      </c>
    </row>
    <row r="348">
      <c r="A348" s="4" t="n">
        <v>343</v>
      </c>
      <c r="B348" s="6" t="inlineStr">
        <is>
          <t>137 DEGREES</t>
        </is>
      </c>
      <c r="C348" s="6" t="inlineStr">
        <is>
          <t>137 DEGREES Almond Milk Unsweetened</t>
        </is>
      </c>
      <c r="D348" s="4" t="n">
        <v>42</v>
      </c>
      <c r="E348" s="4" t="inlineStr">
        <is>
          <t>Groceries</t>
        </is>
      </c>
      <c r="F348" s="4" t="inlineStr">
        <is>
          <t>Drinks</t>
        </is>
      </c>
      <c r="G348" s="4" t="inlineStr">
        <is>
          <t>1L</t>
        </is>
      </c>
      <c r="H348" s="4" t="n"/>
      <c r="I348" s="4">
        <f>IF(H348="","",VALUE(LEFT(H348,FIND("/",H348)-1))/VALUE(MID(H348,FIND("/",H348)+1,99)))</f>
        <v/>
      </c>
      <c r="J348" s="4" t="n"/>
      <c r="K348" s="0" t="inlineStr">
        <is>
          <t>https://www.pns.hk/en/search?text=Almond%20Milk</t>
        </is>
      </c>
      <c r="L348" s="0" t="inlineStr">
        <is>
          <t>IMG_7060.HEIC</t>
        </is>
      </c>
    </row>
    <row r="349">
      <c r="A349" s="4" t="n">
        <v>344</v>
      </c>
      <c r="B349" s="6" t="inlineStr">
        <is>
          <t>OATLY</t>
        </is>
      </c>
      <c r="C349" s="6" t="inlineStr">
        <is>
          <t>OATLY Barista Oat Drink</t>
        </is>
      </c>
      <c r="D349" s="4" t="n">
        <v>25</v>
      </c>
      <c r="E349" s="4" t="inlineStr">
        <is>
          <t>Groceries</t>
        </is>
      </c>
      <c r="F349" s="4" t="inlineStr">
        <is>
          <t>Drinks</t>
        </is>
      </c>
      <c r="G349" s="4" t="inlineStr">
        <is>
          <t>1L</t>
        </is>
      </c>
      <c r="H349" s="4" t="n"/>
      <c r="I349" s="4">
        <f>IF(H349="","",VALUE(LEFT(H349,FIND("/",H349)-1))/VALUE(MID(H349,FIND("/",H349)+1,99)))</f>
        <v/>
      </c>
      <c r="J349" s="4" t="inlineStr">
        <is>
          <t>Discounted; OP = 33.0</t>
        </is>
      </c>
      <c r="K349" s="0" t="inlineStr">
        <is>
          <t>https://www.pns.hk/en/c/categoryoffer88</t>
        </is>
      </c>
      <c r="L349" s="0" t="inlineStr">
        <is>
          <t>IMG_7060.HEIC</t>
        </is>
      </c>
    </row>
    <row r="350">
      <c r="A350" s="4" t="n">
        <v>345</v>
      </c>
      <c r="B350" s="6" t="inlineStr">
        <is>
          <t>OATLY</t>
        </is>
      </c>
      <c r="C350" s="6" t="inlineStr">
        <is>
          <t>OATLY Deluxe High-calcium Oat Drink</t>
        </is>
      </c>
      <c r="D350" s="4" t="n">
        <v>25</v>
      </c>
      <c r="E350" s="4" t="inlineStr">
        <is>
          <t>Groceries</t>
        </is>
      </c>
      <c r="F350" s="4" t="inlineStr">
        <is>
          <t>Drinks</t>
        </is>
      </c>
      <c r="G350" s="4" t="inlineStr">
        <is>
          <t>1L</t>
        </is>
      </c>
      <c r="H350" s="4" t="n"/>
      <c r="I350" s="4">
        <f>IF(H350="","",VALUE(LEFT(H350,FIND("/",H350)-1))/VALUE(MID(H350,FIND("/",H350)+1,99)))</f>
        <v/>
      </c>
      <c r="J350" s="4" t="inlineStr">
        <is>
          <t>Discounted; OP = 33.0</t>
        </is>
      </c>
      <c r="K350" s="0" t="inlineStr">
        <is>
          <t>https://www.pns.hk/en/search?text=Oat-Milk</t>
        </is>
      </c>
      <c r="L350" s="0" t="inlineStr">
        <is>
          <t>IMG_7060.HEIC</t>
        </is>
      </c>
    </row>
    <row r="351">
      <c r="A351" s="4" t="n">
        <v>346</v>
      </c>
      <c r="B351" s="6" t="inlineStr">
        <is>
          <t>OATLY</t>
        </is>
      </c>
      <c r="C351" s="6" t="inlineStr">
        <is>
          <t>OATLY Oat Drink Enriched</t>
        </is>
      </c>
      <c r="D351" s="4" t="n"/>
      <c r="E351" s="4" t="inlineStr">
        <is>
          <t>Groceries</t>
        </is>
      </c>
      <c r="F351" s="4" t="inlineStr">
        <is>
          <t>Drinks</t>
        </is>
      </c>
      <c r="G351" s="4" t="inlineStr">
        <is>
          <t>1L</t>
        </is>
      </c>
      <c r="H351" s="4" t="n"/>
      <c r="I351" s="4">
        <f>IF(H351="","",VALUE(LEFT(H351,FIND("/",H351)-1))/VALUE(MID(H351,FIND("/",H351)+1,99)))</f>
        <v/>
      </c>
      <c r="J351" s="4" t="inlineStr">
        <is>
          <t>Distinct OATLY carton; shelf price is obscured by the promo card</t>
        </is>
      </c>
      <c r="K351" s="0" t="inlineStr">
        <is>
          <t>https://www.pns.hk/en/c/categoryoffer88</t>
        </is>
      </c>
      <c r="L351" s="0" t="inlineStr">
        <is>
          <t>IMG_7060.HEIC</t>
        </is>
      </c>
    </row>
    <row r="352">
      <c r="A352" s="4" t="n">
        <v>347</v>
      </c>
      <c r="B352" s="6" t="inlineStr">
        <is>
          <t>VITASOY</t>
        </is>
      </c>
      <c r="C352" s="6" t="inlineStr">
        <is>
          <t>VITASOY Australia Soy Milk Original</t>
        </is>
      </c>
      <c r="D352" s="4" t="n">
        <v>21</v>
      </c>
      <c r="E352" s="4" t="inlineStr">
        <is>
          <t>Groceries</t>
        </is>
      </c>
      <c r="F352" s="4" t="inlineStr">
        <is>
          <t>Drinks</t>
        </is>
      </c>
      <c r="G352" s="4" t="inlineStr">
        <is>
          <t>1L</t>
        </is>
      </c>
      <c r="H352" s="4" t="n"/>
      <c r="I352" s="4">
        <f>IF(H352="","",VALUE(LEFT(H352,FIND("/",H352)-1))/VALUE(MID(H352,FIND("/",H352)+1,99)))</f>
        <v/>
      </c>
      <c r="J352" s="4" t="inlineStr">
        <is>
          <t>Discounted; OP = 32.0</t>
        </is>
      </c>
      <c r="K352" s="0" t="inlineStr">
        <is>
          <t>https://www.pns.hk/en/australia-soy-milk-original/p/BP_497047</t>
        </is>
      </c>
      <c r="L352" s="0" t="inlineStr">
        <is>
          <t>IMG_7060.HEIC</t>
        </is>
      </c>
    </row>
    <row r="353">
      <c r="A353" s="4" t="n">
        <v>348</v>
      </c>
      <c r="B353" s="6" t="inlineStr">
        <is>
          <t>BLUE DIAMOND</t>
        </is>
      </c>
      <c r="C353" s="6" t="inlineStr">
        <is>
          <t>BLUE DIAMOND Almond Breeze Unsweetened (original)</t>
        </is>
      </c>
      <c r="D353" s="4" t="n">
        <v>30.9</v>
      </c>
      <c r="E353" s="4" t="inlineStr">
        <is>
          <t>Groceries</t>
        </is>
      </c>
      <c r="F353" s="4" t="inlineStr">
        <is>
          <t>Drinks</t>
        </is>
      </c>
      <c r="G353" s="4" t="inlineStr">
        <is>
          <t>946ML</t>
        </is>
      </c>
      <c r="H353" s="4" t="n"/>
      <c r="I353" s="4">
        <f>IF(H353="","",VALUE(LEFT(H353,FIND("/",H353)-1))/VALUE(MID(H353,FIND("/",H353)+1,99)))</f>
        <v/>
      </c>
      <c r="J353" s="4" t="inlineStr">
        <is>
          <t>Promotion label visible, but its multi-buy total/quantity is unreadable</t>
        </is>
      </c>
      <c r="K353" s="0" t="inlineStr">
        <is>
          <t>https://www.pns.hk/en/almond-breeze-unsweetened/p/BP_385806</t>
        </is>
      </c>
      <c r="L353" s="0" t="inlineStr">
        <is>
          <t>IMG_7060.HEIC</t>
        </is>
      </c>
    </row>
    <row r="354">
      <c r="A354" s="4" t="n">
        <v>349</v>
      </c>
      <c r="B354" s="6" t="inlineStr">
        <is>
          <t>BLUE DIAMOND</t>
        </is>
      </c>
      <c r="C354" s="6" t="inlineStr">
        <is>
          <t>BLUE DIAMOND Almond Breeze (original)</t>
        </is>
      </c>
      <c r="D354" s="4" t="n">
        <v>30.9</v>
      </c>
      <c r="E354" s="4" t="inlineStr">
        <is>
          <t>Groceries</t>
        </is>
      </c>
      <c r="F354" s="4" t="inlineStr">
        <is>
          <t>Drinks</t>
        </is>
      </c>
      <c r="G354" s="4" t="inlineStr">
        <is>
          <t>946ML</t>
        </is>
      </c>
      <c r="H354" s="4" t="n"/>
      <c r="I354" s="4">
        <f>IF(H354="","",VALUE(LEFT(H354,FIND("/",H354)-1))/VALUE(MID(H354,FIND("/",H354)+1,99)))</f>
        <v/>
      </c>
      <c r="J354" s="4" t="inlineStr">
        <is>
          <t>Promotion label visible, but its multi-buy total/quantity is unreadable</t>
        </is>
      </c>
      <c r="K354" s="0" t="inlineStr">
        <is>
          <t>https://www.pns.hk/en/blue-diamond-almond-breeze-946ml/c/bluediamond946</t>
        </is>
      </c>
      <c r="L354" s="0" t="inlineStr">
        <is>
          <t>IMG_7060.HEIC</t>
        </is>
      </c>
    </row>
    <row r="355">
      <c r="A355" s="0" t="n">
        <v>350</v>
      </c>
      <c r="B355" s="6" t="inlineStr">
        <is>
          <t>Select</t>
        </is>
      </c>
      <c r="C355" s="6" t="inlineStr">
        <is>
          <t>Select Australia 100% Full Cream Milk</t>
        </is>
      </c>
      <c r="D355" s="0" t="n">
        <v>15</v>
      </c>
      <c r="E355" s="7" t="inlineStr">
        <is>
          <t>Fresh Food</t>
        </is>
      </c>
      <c r="F355" s="7" t="inlineStr">
        <is>
          <t>Dairy</t>
        </is>
      </c>
      <c r="G355" s="0" t="inlineStr">
        <is>
          <t>1L</t>
        </is>
      </c>
      <c r="H355" s="0" t="n"/>
      <c r="I355" s="7">
        <f>IF(H355="","",VALUE(LEFT(H355,FIND("/",H355)-1))/VALUE(MID(H355,FIND("/",H355)+1,99)))</f>
        <v/>
      </c>
      <c r="J355" s="0" t="inlineStr">
        <is>
          <t>9折 sticker visible; whether HK$15.0 is the regular or discounted shelf price is unclear</t>
        </is>
      </c>
      <c r="K355" s="0" t="inlineStr">
        <is>
          <t>https://www.pns.hk/en/milk-yogurt/c/milk-yogurt</t>
        </is>
      </c>
      <c r="L355" s="0" t="inlineStr">
        <is>
          <t>IMG_7060.HEIC</t>
        </is>
      </c>
    </row>
    <row r="356">
      <c r="A356" s="0" t="n">
        <v>351</v>
      </c>
      <c r="B356" s="6" t="inlineStr">
        <is>
          <t>Select</t>
        </is>
      </c>
      <c r="C356" s="6" t="inlineStr">
        <is>
          <t>Select Australia Skimmed Milk</t>
        </is>
      </c>
      <c r="D356" s="0" t="n">
        <v>15</v>
      </c>
      <c r="E356" s="7" t="inlineStr">
        <is>
          <t>Fresh Food</t>
        </is>
      </c>
      <c r="F356" s="7" t="inlineStr">
        <is>
          <t>Dairy</t>
        </is>
      </c>
      <c r="G356" s="0" t="inlineStr">
        <is>
          <t>1L</t>
        </is>
      </c>
      <c r="H356" s="0" t="n"/>
      <c r="I356" s="7">
        <f>IF(H356="","",VALUE(LEFT(H356,FIND("/",H356)-1))/VALUE(MID(H356,FIND("/",H356)+1,99)))</f>
        <v/>
      </c>
      <c r="J356" s="0" t="inlineStr">
        <is>
          <t>9折 sticker visible; whether HK$15.0 is the regular or discounted shelf price is unclear</t>
        </is>
      </c>
      <c r="K356" s="0" t="inlineStr">
        <is>
          <t>https://www.pns.hk/en/milk-yogurt/c/milk-yogurt</t>
        </is>
      </c>
      <c r="L356" s="0" t="inlineStr">
        <is>
          <t>IMG_7060.HEIC</t>
        </is>
      </c>
    </row>
    <row r="357">
      <c r="A357" s="0" t="n">
        <v>352</v>
      </c>
      <c r="B357" s="6" t="inlineStr">
        <is>
          <t>Dutch Lady</t>
        </is>
      </c>
      <c r="C357" s="6" t="inlineStr">
        <is>
          <t>Dutch Lady Organic Pure Milk</t>
        </is>
      </c>
      <c r="D357" s="0" t="n">
        <v>35</v>
      </c>
      <c r="E357" s="7" t="inlineStr">
        <is>
          <t>Fresh Food</t>
        </is>
      </c>
      <c r="F357" s="7" t="inlineStr">
        <is>
          <t>Dairy</t>
        </is>
      </c>
      <c r="G357" s="0" t="inlineStr">
        <is>
          <t>1L</t>
        </is>
      </c>
      <c r="H357" s="0" t="n"/>
      <c r="I357" s="7">
        <f>IF(H357="","",VALUE(LEFT(H357,FIND("/",H357)-1))/VALUE(MID(H357,FIND("/",H357)+1,99)))</f>
        <v/>
      </c>
      <c r="J357" s="0" t="inlineStr">
        <is>
          <t>Multi-buy/promotion sticker is visible, but its total price/quantity is unreadable</t>
        </is>
      </c>
      <c r="K357" s="0" t="inlineStr">
        <is>
          <t>https://www.pns.hk/en/all-brands/b/104659/dutch-lady</t>
        </is>
      </c>
      <c r="L357" s="0" t="inlineStr">
        <is>
          <t>IMG_7060.HEIC</t>
        </is>
      </c>
    </row>
    <row r="358">
      <c r="A358" s="0" t="n">
        <v>353</v>
      </c>
      <c r="B358" s="6" t="inlineStr">
        <is>
          <t>Harvey Fresh</t>
        </is>
      </c>
      <c r="C358" s="6" t="inlineStr">
        <is>
          <t>Harvey Fresh Full Cream Milk Lactose Free</t>
        </is>
      </c>
      <c r="D358" s="0" t="n">
        <v>23.9</v>
      </c>
      <c r="E358" s="7" t="inlineStr">
        <is>
          <t>Fresh Food</t>
        </is>
      </c>
      <c r="F358" s="7" t="inlineStr">
        <is>
          <t>Dairy</t>
        </is>
      </c>
      <c r="G358" s="0" t="inlineStr">
        <is>
          <t>1L</t>
        </is>
      </c>
      <c r="H358" s="0" t="n"/>
      <c r="I358" s="7">
        <f>IF(H358="","",VALUE(LEFT(H358,FIND("/",H358)-1))/VALUE(MID(H358,FIND("/",H358)+1,99)))</f>
        <v/>
      </c>
      <c r="J358" s="0" t="n"/>
      <c r="K358" s="0" t="inlineStr">
        <is>
          <t>https://www.pns.hk/en/c/categoryoffer88</t>
        </is>
      </c>
      <c r="L358" s="0" t="inlineStr">
        <is>
          <t>IMG_7060.HEIC</t>
        </is>
      </c>
    </row>
    <row r="359">
      <c r="A359" s="0" t="n">
        <v>354</v>
      </c>
      <c r="B359" s="6" t="inlineStr">
        <is>
          <t>Daioni</t>
        </is>
      </c>
      <c r="C359" s="6" t="inlineStr">
        <is>
          <t>Daioni Organic Whole Milk</t>
        </is>
      </c>
      <c r="D359" s="0" t="n">
        <v>32</v>
      </c>
      <c r="E359" s="7" t="inlineStr">
        <is>
          <t>Fresh Food</t>
        </is>
      </c>
      <c r="F359" s="7" t="inlineStr">
        <is>
          <t>Dairy</t>
        </is>
      </c>
      <c r="G359" s="0" t="inlineStr">
        <is>
          <t>1L</t>
        </is>
      </c>
      <c r="H359" s="0" t="inlineStr">
        <is>
          <t>52/2</t>
        </is>
      </c>
      <c r="I359" s="7">
        <f>IF(H359="","",VALUE(LEFT(H359,FIND("/",H359)-1))/VALUE(MID(H359,FIND("/",H359)+1,99)))</f>
        <v/>
      </c>
      <c r="J359" s="0" t="inlineStr">
        <is>
          <t>Shelf label reads HK$32.0; red multi-buy label appears to read HK$52/2</t>
        </is>
      </c>
      <c r="K359" s="0" t="inlineStr">
        <is>
          <t>https://www.pns.hk/en/all-brands/b/104874/daioni</t>
        </is>
      </c>
      <c r="L359" s="0" t="inlineStr">
        <is>
          <t>IMG_7060.HEIC</t>
        </is>
      </c>
    </row>
    <row r="360">
      <c r="A360" s="0" t="n">
        <v>355</v>
      </c>
      <c r="B360" s="6" t="inlineStr">
        <is>
          <t>Unknown</t>
        </is>
      </c>
      <c r="C360" s="6" t="inlineStr">
        <is>
          <t>Unknown packaged dairy product (left-edge partial; koala graphic)</t>
        </is>
      </c>
      <c r="D360" s="0" t="n"/>
      <c r="E360" s="7" t="inlineStr">
        <is>
          <t>Fresh Food</t>
        </is>
      </c>
      <c r="F360" s="7" t="inlineStr">
        <is>
          <t>Dairy</t>
        </is>
      </c>
      <c r="G360" s="0" t="inlineStr">
        <is>
          <t>Unknown</t>
        </is>
      </c>
      <c r="H360" s="0" t="n"/>
      <c r="I360" s="7">
        <f>IF(H360="","",VALUE(LEFT(H360,FIND("/",H360)-1))/VALUE(MID(H360,FIND("/",H360)+1,99)))</f>
        <v/>
      </c>
      <c r="J360" s="0" t="inlineStr">
        <is>
          <t>Product is visible at the left edge of the middle shelf, but the brand, variant and price are obscured</t>
        </is>
      </c>
      <c r="K360" s="0" t="str"/>
      <c r="L360" s="0" t="inlineStr">
        <is>
          <t>IMG_7061.HEIC</t>
        </is>
      </c>
    </row>
    <row r="361">
      <c r="A361" s="0" t="n">
        <v>356</v>
      </c>
      <c r="B361" s="6" t="inlineStr">
        <is>
          <t>Devondale</t>
        </is>
      </c>
      <c r="C361" s="6" t="inlineStr">
        <is>
          <t>Devondale Full Cream UHT Milk</t>
        </is>
      </c>
      <c r="D361" s="0" t="n">
        <v>23.9</v>
      </c>
      <c r="E361" s="7" t="inlineStr">
        <is>
          <t>Fresh Food</t>
        </is>
      </c>
      <c r="F361" s="7" t="inlineStr">
        <is>
          <t>Dairy</t>
        </is>
      </c>
      <c r="G361" s="0" t="inlineStr">
        <is>
          <t>1L</t>
        </is>
      </c>
      <c r="H361" s="0" t="n"/>
      <c r="I361" s="7">
        <f>IF(H361="","",VALUE(LEFT(H361,FIND("/",H361)-1))/VALUE(MID(H361,FIND("/",H361)+1,99)))</f>
        <v/>
      </c>
      <c r="J361" s="0" t="inlineStr">
        <is>
          <t>Price matched to the visible shelf label; promotion text is obscured</t>
        </is>
      </c>
      <c r="K361" s="0" t="inlineStr">
        <is>
          <t>https://www.pns.hk/en/full-cream-uht-milk/p/BP_127128</t>
        </is>
      </c>
      <c r="L361" s="0" t="inlineStr">
        <is>
          <t>IMG_7061.HEIC</t>
        </is>
      </c>
    </row>
    <row r="362">
      <c r="A362" s="0" t="n">
        <v>357</v>
      </c>
      <c r="B362" s="6" t="inlineStr">
        <is>
          <t>Devondale</t>
        </is>
      </c>
      <c r="C362" s="6" t="inlineStr">
        <is>
          <t>Devondale Skim UHT Milk (Extra Light)</t>
        </is>
      </c>
      <c r="D362" s="0" t="n">
        <v>22</v>
      </c>
      <c r="E362" s="7" t="inlineStr">
        <is>
          <t>Fresh Food</t>
        </is>
      </c>
      <c r="F362" s="7" t="inlineStr">
        <is>
          <t>Dairy</t>
        </is>
      </c>
      <c r="G362" s="0" t="inlineStr">
        <is>
          <t>1L</t>
        </is>
      </c>
      <c r="H362" s="0" t="inlineStr">
        <is>
          <t>38/2</t>
        </is>
      </c>
      <c r="I362" s="7">
        <f>IF(H362="","",VALUE(LEFT(H362,FIND("/",H362)-1))/VALUE(MID(H362,FIND("/",H362)+1,99)))</f>
        <v/>
      </c>
      <c r="J362" s="0" t="inlineStr">
        <is>
          <t>Package says Extra Light; shelf label reads HK$22.0 and HK$38/2</t>
        </is>
      </c>
      <c r="K362" s="0" t="inlineStr">
        <is>
          <t>https://www.pns.hk/en/all-brands/b/104222/devondale</t>
        </is>
      </c>
      <c r="L362" s="0" t="inlineStr">
        <is>
          <t>IMG_7061.HEIC</t>
        </is>
      </c>
    </row>
    <row r="363">
      <c r="A363" s="0" t="n">
        <v>358</v>
      </c>
      <c r="B363" s="6" t="inlineStr">
        <is>
          <t>Pauls</t>
        </is>
      </c>
      <c r="C363" s="6" t="inlineStr">
        <is>
          <t>Pauls Pure Full Cream Milk</t>
        </is>
      </c>
      <c r="D363" s="0" t="n">
        <v>28.9</v>
      </c>
      <c r="E363" s="7" t="inlineStr">
        <is>
          <t>Fresh Food</t>
        </is>
      </c>
      <c r="F363" s="7" t="inlineStr">
        <is>
          <t>Dairy</t>
        </is>
      </c>
      <c r="G363" s="0" t="inlineStr">
        <is>
          <t>1L</t>
        </is>
      </c>
      <c r="H363" s="0" t="n"/>
      <c r="I363" s="7">
        <f>IF(H363="","",VALUE(LEFT(H363,FIND("/",H363)-1))/VALUE(MID(H363,FIND("/",H363)+1,99)))</f>
        <v/>
      </c>
      <c r="J363" s="0" t="n"/>
      <c r="K363" s="0" t="inlineStr">
        <is>
          <t>https://www.pns.hk/en/c/ambientmilk1l</t>
        </is>
      </c>
      <c r="L363" s="0" t="inlineStr">
        <is>
          <t>IMG_7061.HEIC</t>
        </is>
      </c>
    </row>
    <row r="364">
      <c r="A364" s="0" t="n">
        <v>359</v>
      </c>
      <c r="B364" s="6" t="inlineStr">
        <is>
          <t>Pauls</t>
        </is>
      </c>
      <c r="C364" s="6" t="inlineStr">
        <is>
          <t>Pauls Skimmed Milk</t>
        </is>
      </c>
      <c r="D364" s="0" t="n">
        <v>28.9</v>
      </c>
      <c r="E364" s="7" t="inlineStr">
        <is>
          <t>Fresh Food</t>
        </is>
      </c>
      <c r="F364" s="7" t="inlineStr">
        <is>
          <t>Dairy</t>
        </is>
      </c>
      <c r="G364" s="0" t="inlineStr">
        <is>
          <t>1L</t>
        </is>
      </c>
      <c r="H364" s="0" t="n"/>
      <c r="I364" s="7">
        <f>IF(H364="","",VALUE(LEFT(H364,FIND("/",H364)-1))/VALUE(MID(H364,FIND("/",H364)+1,99)))</f>
        <v/>
      </c>
      <c r="J364" s="0" t="n"/>
      <c r="K364" s="0" t="inlineStr">
        <is>
          <t>https://www.pns.hk/en/c/ambientmilk1l</t>
        </is>
      </c>
      <c r="L364" s="0" t="inlineStr">
        <is>
          <t>IMG_7061.HEIC</t>
        </is>
      </c>
    </row>
    <row r="365">
      <c r="A365" s="0" t="n">
        <v>360</v>
      </c>
      <c r="B365" s="6" t="inlineStr">
        <is>
          <t>Emmi</t>
        </is>
      </c>
      <c r="C365" s="6" t="inlineStr">
        <is>
          <t>Emmi Swiss Premium Whole Milk</t>
        </is>
      </c>
      <c r="D365" s="0" t="n">
        <v>29.9</v>
      </c>
      <c r="E365" s="7" t="inlineStr">
        <is>
          <t>Fresh Food</t>
        </is>
      </c>
      <c r="F365" s="7" t="inlineStr">
        <is>
          <t>Dairy</t>
        </is>
      </c>
      <c r="G365" s="0" t="inlineStr">
        <is>
          <t>1L</t>
        </is>
      </c>
      <c r="H365" s="0" t="inlineStr">
        <is>
          <t>51/2</t>
        </is>
      </c>
      <c r="I365" s="7">
        <f>IF(H365="","",VALUE(LEFT(H365,FIND("/",H365)-1))/VALUE(MID(H365,FIND("/",H365)+1,99)))</f>
        <v/>
      </c>
      <c r="J365" s="0" t="inlineStr">
        <is>
          <t>Multi-buy value matched to the visible shelf promotion</t>
        </is>
      </c>
      <c r="K365" s="0" t="inlineStr">
        <is>
          <t>https://www.pns.hk/en/c/ambientmilk1l</t>
        </is>
      </c>
      <c r="L365" s="0" t="inlineStr">
        <is>
          <t>IMG_7061.HEIC</t>
        </is>
      </c>
    </row>
    <row r="366">
      <c r="A366" s="0" t="n">
        <v>361</v>
      </c>
      <c r="B366" s="6" t="inlineStr">
        <is>
          <t>Emmi</t>
        </is>
      </c>
      <c r="C366" s="6" t="inlineStr">
        <is>
          <t>Emmi Swiss Premium Semi-Skimmed Milk</t>
        </is>
      </c>
      <c r="D366" s="0" t="n">
        <v>29.9</v>
      </c>
      <c r="E366" s="7" t="inlineStr">
        <is>
          <t>Fresh Food</t>
        </is>
      </c>
      <c r="F366" s="7" t="inlineStr">
        <is>
          <t>Dairy</t>
        </is>
      </c>
      <c r="G366" s="0" t="inlineStr">
        <is>
          <t>1L</t>
        </is>
      </c>
      <c r="H366" s="0" t="inlineStr">
        <is>
          <t>55/2</t>
        </is>
      </c>
      <c r="I366" s="7">
        <f>IF(H366="","",VALUE(LEFT(H366,FIND("/",H366)-1))/VALUE(MID(H366,FIND("/",H366)+1,99)))</f>
        <v/>
      </c>
      <c r="J366" s="0" t="inlineStr">
        <is>
          <t>Multi-buy value matched to the visible shelf promotion</t>
        </is>
      </c>
      <c r="K366" s="0" t="inlineStr">
        <is>
          <t>https://www.pns.hk/en/c/ambientmilk1l</t>
        </is>
      </c>
      <c r="L366" s="0" t="inlineStr">
        <is>
          <t>IMG_7061.HEIC</t>
        </is>
      </c>
    </row>
    <row r="367">
      <c r="A367" s="0" t="n">
        <v>362</v>
      </c>
      <c r="B367" s="6" t="inlineStr">
        <is>
          <t>Black &amp; White</t>
        </is>
      </c>
      <c r="C367" s="6" t="inlineStr">
        <is>
          <t>Black &amp; White Pure Milk</t>
        </is>
      </c>
      <c r="D367" s="0" t="n">
        <v>23</v>
      </c>
      <c r="E367" s="7" t="inlineStr">
        <is>
          <t>Fresh Food</t>
        </is>
      </c>
      <c r="F367" s="7" t="inlineStr">
        <is>
          <t>Dairy</t>
        </is>
      </c>
      <c r="G367" s="0" t="inlineStr">
        <is>
          <t>1L</t>
        </is>
      </c>
      <c r="H367" s="0" t="n"/>
      <c r="I367" s="7">
        <f>IF(H367="","",VALUE(LEFT(H367,FIND("/",H367)-1))/VALUE(MID(H367,FIND("/",H367)+1,99)))</f>
        <v/>
      </c>
      <c r="J367" s="0" t="inlineStr">
        <is>
          <t>Package says 100% Fresh Milk; catalogue name is Black &amp; White Pure Milk</t>
        </is>
      </c>
      <c r="K367" s="0" t="inlineStr">
        <is>
          <t>https://www.pns.hk/en/c/ambientmilk1l</t>
        </is>
      </c>
      <c r="L367" s="0" t="inlineStr">
        <is>
          <t>IMG_7061.HEIC</t>
        </is>
      </c>
    </row>
    <row r="368">
      <c r="A368" s="0" t="n">
        <v>363</v>
      </c>
      <c r="B368" s="6" t="inlineStr">
        <is>
          <t>Unknown</t>
        </is>
      </c>
      <c r="C368" s="6" t="inlineStr">
        <is>
          <t>Unknown packaged milk product (right-edge red packaging)</t>
        </is>
      </c>
      <c r="D368" s="0" t="n"/>
      <c r="E368" s="7" t="inlineStr">
        <is>
          <t>Fresh Food</t>
        </is>
      </c>
      <c r="F368" s="7" t="inlineStr">
        <is>
          <t>Dairy</t>
        </is>
      </c>
      <c r="G368" s="0" t="inlineStr">
        <is>
          <t>Unknown</t>
        </is>
      </c>
      <c r="H368" s="0" t="n"/>
      <c r="I368" s="7">
        <f>IF(H368="","",VALUE(LEFT(H368,FIND("/",H368)-1))/VALUE(MID(H368,FIND("/",H368)+1,99)))</f>
        <v/>
      </c>
      <c r="J368" s="0" t="inlineStr">
        <is>
          <t>Only a narrow red package edge is visible; brand, variant and price are unclear</t>
        </is>
      </c>
      <c r="K368" s="0" t="str"/>
      <c r="L368" s="0" t="inlineStr">
        <is>
          <t>IMG_7061.HEIC</t>
        </is>
      </c>
    </row>
    <row r="369">
      <c r="A369" s="0" t="n">
        <v>364</v>
      </c>
      <c r="B369" s="6" t="inlineStr">
        <is>
          <t>Australia's Own</t>
        </is>
      </c>
      <c r="C369" s="6" t="inlineStr">
        <is>
          <t>Australia's Own A2 Protein Full Cream Milk</t>
        </is>
      </c>
      <c r="D369" s="0" t="n">
        <v>20</v>
      </c>
      <c r="E369" s="7" t="inlineStr">
        <is>
          <t>Fresh Food</t>
        </is>
      </c>
      <c r="F369" s="7" t="inlineStr">
        <is>
          <t>Dairy</t>
        </is>
      </c>
      <c r="G369" s="0" t="inlineStr">
        <is>
          <t>1L</t>
        </is>
      </c>
      <c r="H369" s="0" t="n"/>
      <c r="I369" s="7">
        <f>IF(H369="","",VALUE(LEFT(H369,FIND("/",H369)-1))/VALUE(MID(H369,FIND("/",H369)+1,99)))</f>
        <v/>
      </c>
      <c r="J369" s="0" t="n"/>
      <c r="K369" s="0" t="inlineStr">
        <is>
          <t>https://www.pns.hk/en/c/ambientmilk1l</t>
        </is>
      </c>
      <c r="L369" s="0" t="inlineStr">
        <is>
          <t>IMG_7061.HEIC</t>
        </is>
      </c>
    </row>
    <row r="370">
      <c r="A370" s="0" t="n">
        <v>365</v>
      </c>
      <c r="B370" s="6" t="inlineStr">
        <is>
          <t>Aus'Mania</t>
        </is>
      </c>
      <c r="C370" s="6" t="inlineStr">
        <is>
          <t>Aus'Mania Full Cream UHT Milk</t>
        </is>
      </c>
      <c r="D370" s="0" t="n">
        <v>22</v>
      </c>
      <c r="E370" s="7" t="inlineStr">
        <is>
          <t>Fresh Food</t>
        </is>
      </c>
      <c r="F370" s="7" t="inlineStr">
        <is>
          <t>Dairy</t>
        </is>
      </c>
      <c r="G370" s="0" t="inlineStr">
        <is>
          <t>1L</t>
        </is>
      </c>
      <c r="H370" s="0" t="inlineStr">
        <is>
          <t>26/2</t>
        </is>
      </c>
      <c r="I370" s="7">
        <f>IF(H370="","",VALUE(LEFT(H370,FIND("/",H370)-1))/VALUE(MID(H370,FIND("/",H370)+1,99)))</f>
        <v/>
      </c>
      <c r="J370" s="0" t="inlineStr">
        <is>
          <t>Shelf label reads HK$22.0 and HK$26/2</t>
        </is>
      </c>
      <c r="K370" s="0" t="inlineStr">
        <is>
          <t>https://www.pns.hk/en/c/ambientmilk1l</t>
        </is>
      </c>
      <c r="L370" s="0" t="inlineStr">
        <is>
          <t>IMG_7061.HEIC</t>
        </is>
      </c>
    </row>
    <row r="371">
      <c r="A371" s="0" t="n">
        <v>366</v>
      </c>
      <c r="B371" s="6" t="inlineStr">
        <is>
          <t>Aus'Mania</t>
        </is>
      </c>
      <c r="C371" s="6" t="inlineStr">
        <is>
          <t>Aus'Mania Skim UHT Milk</t>
        </is>
      </c>
      <c r="D371" s="0" t="n">
        <v>22</v>
      </c>
      <c r="E371" s="7" t="inlineStr">
        <is>
          <t>Fresh Food</t>
        </is>
      </c>
      <c r="F371" s="7" t="inlineStr">
        <is>
          <t>Dairy</t>
        </is>
      </c>
      <c r="G371" s="0" t="inlineStr">
        <is>
          <t>1L</t>
        </is>
      </c>
      <c r="H371" s="0" t="inlineStr">
        <is>
          <t>26/2</t>
        </is>
      </c>
      <c r="I371" s="7">
        <f>IF(H371="","",VALUE(LEFT(H371,FIND("/",H371)-1))/VALUE(MID(H371,FIND("/",H371)+1,99)))</f>
        <v/>
      </c>
      <c r="J371" s="0" t="inlineStr">
        <is>
          <t>Shelf label reads HK$22.0 and HK$26/2</t>
        </is>
      </c>
      <c r="K371" s="0" t="inlineStr">
        <is>
          <t>https://www.pns.hk/en/c/ambientmilk1l</t>
        </is>
      </c>
      <c r="L371" s="0" t="inlineStr">
        <is>
          <t>IMG_7061.HEIC</t>
        </is>
      </c>
    </row>
    <row r="372">
      <c r="A372" s="0" t="n">
        <v>367</v>
      </c>
      <c r="B372" s="6" t="inlineStr">
        <is>
          <t>Dutch Lady</t>
        </is>
      </c>
      <c r="C372" s="6" t="inlineStr">
        <is>
          <t>Dutch Lady Original Milk Beverage</t>
        </is>
      </c>
      <c r="D372" s="0" t="n">
        <v>21</v>
      </c>
      <c r="E372" s="7" t="inlineStr">
        <is>
          <t>Fresh Food</t>
        </is>
      </c>
      <c r="F372" s="7" t="inlineStr">
        <is>
          <t>Dairy</t>
        </is>
      </c>
      <c r="G372" s="0" t="inlineStr">
        <is>
          <t>946ML</t>
        </is>
      </c>
      <c r="H372" s="0" t="inlineStr">
        <is>
          <t>42/3</t>
        </is>
      </c>
      <c r="I372" s="7">
        <f>IF(H372="","",VALUE(LEFT(H372,FIND("/",H372)-1))/VALUE(MID(H372,FIND("/",H372)+1,99)))</f>
        <v/>
      </c>
      <c r="J372" s="0" t="inlineStr">
        <is>
          <t>Buy 2 Get 1 Free sign is visible over the Dutch Lady section</t>
        </is>
      </c>
      <c r="K372" s="0" t="inlineStr">
        <is>
          <t>https://www.pns.hk/en/back-to-school/c/backtoschoolfb</t>
        </is>
      </c>
      <c r="L372" s="0" t="inlineStr">
        <is>
          <t>IMG_7061.HEIC</t>
        </is>
      </c>
    </row>
    <row r="373">
      <c r="A373" s="0" t="n">
        <v>368</v>
      </c>
      <c r="B373" s="6" t="inlineStr">
        <is>
          <t>Dutch Lady</t>
        </is>
      </c>
      <c r="C373" s="6" t="inlineStr">
        <is>
          <t>Dutch Lady High Calcium Less Fat Milk Beverage</t>
        </is>
      </c>
      <c r="D373" s="0" t="n">
        <v>21</v>
      </c>
      <c r="E373" s="7" t="inlineStr">
        <is>
          <t>Fresh Food</t>
        </is>
      </c>
      <c r="F373" s="7" t="inlineStr">
        <is>
          <t>Dairy</t>
        </is>
      </c>
      <c r="G373" s="0" t="inlineStr">
        <is>
          <t>946ML</t>
        </is>
      </c>
      <c r="H373" s="0" t="inlineStr">
        <is>
          <t>42/3</t>
        </is>
      </c>
      <c r="I373" s="7">
        <f>IF(H373="","",VALUE(LEFT(H373,FIND("/",H373)-1))/VALUE(MID(H373,FIND("/",H373)+1,99)))</f>
        <v/>
      </c>
      <c r="J373" s="0" t="inlineStr">
        <is>
          <t>Buy 2 Get 1 Free sign is visible over the Dutch Lady section</t>
        </is>
      </c>
      <c r="K373" s="0" t="inlineStr">
        <is>
          <t>https://www.pns.hk/en/back-to-school/c/backtoschoolfb</t>
        </is>
      </c>
      <c r="L373" s="0" t="inlineStr">
        <is>
          <t>IMG_7061.HEIC</t>
        </is>
      </c>
    </row>
    <row r="374">
      <c r="A374" s="0" t="n">
        <v>369</v>
      </c>
      <c r="B374" s="6" t="inlineStr">
        <is>
          <t>Fred &amp; Chloe</t>
        </is>
      </c>
      <c r="C374" s="6" t="inlineStr">
        <is>
          <t>Fred &amp; Chloe Full Cream Milk</t>
        </is>
      </c>
      <c r="D374" s="0" t="n">
        <v>20.9</v>
      </c>
      <c r="E374" s="7" t="inlineStr">
        <is>
          <t>Fresh Food</t>
        </is>
      </c>
      <c r="F374" s="7" t="inlineStr">
        <is>
          <t>Dairy</t>
        </is>
      </c>
      <c r="G374" s="0" t="inlineStr">
        <is>
          <t>1L</t>
        </is>
      </c>
      <c r="H374" s="0" t="inlineStr">
        <is>
          <t>35/2</t>
        </is>
      </c>
      <c r="I374" s="7">
        <f>IF(H374="","",VALUE(LEFT(H374,FIND("/",H374)-1))/VALUE(MID(H374,FIND("/",H374)+1,99)))</f>
        <v/>
      </c>
      <c r="J374" s="0" t="inlineStr">
        <is>
          <t>Shelf label reads HK$20.9 and HK$35/2</t>
        </is>
      </c>
      <c r="K374" s="0" t="inlineStr">
        <is>
          <t>https://www.pns.hk/en/c/ambientmilk1l</t>
        </is>
      </c>
      <c r="L374" s="0" t="inlineStr">
        <is>
          <t>IMG_7061.HEIC</t>
        </is>
      </c>
    </row>
    <row r="375">
      <c r="A375" s="0" t="n">
        <v>370</v>
      </c>
      <c r="B375" s="6" t="inlineStr">
        <is>
          <t>Unknown</t>
        </is>
      </c>
      <c r="C375" s="6" t="inlineStr">
        <is>
          <t>Unknown packaged dairy product (lower-shelf left edge)</t>
        </is>
      </c>
      <c r="D375" s="0" t="n"/>
      <c r="E375" s="7" t="inlineStr">
        <is>
          <t>Fresh Food</t>
        </is>
      </c>
      <c r="F375" s="7" t="inlineStr">
        <is>
          <t>Dairy</t>
        </is>
      </c>
      <c r="G375" s="0" t="inlineStr">
        <is>
          <t>Unknown</t>
        </is>
      </c>
      <c r="H375" s="0" t="n"/>
      <c r="I375" s="7">
        <f>IF(H375="","",VALUE(LEFT(H375,FIND("/",H375)-1))/VALUE(MID(H375,FIND("/",H375)+1,99)))</f>
        <v/>
      </c>
      <c r="J375" s="0" t="inlineStr">
        <is>
          <t>Several partial packs are visible at the left edge; exact product identity and price are unreadable</t>
        </is>
      </c>
      <c r="K375" s="0" t="str"/>
      <c r="L375" s="0" t="inlineStr">
        <is>
          <t>IMG_7061.HEIC</t>
        </is>
      </c>
    </row>
    <row r="376">
      <c r="A376" s="0" t="n">
        <v>371</v>
      </c>
      <c r="B376" s="6" t="inlineStr">
        <is>
          <t>VITA</t>
        </is>
      </c>
      <c r="C376" s="6" t="inlineStr">
        <is>
          <t>VITA Chocolate Milk Beverage</t>
        </is>
      </c>
      <c r="D376" s="0" t="n">
        <v>42</v>
      </c>
      <c r="E376" s="7" t="inlineStr">
        <is>
          <t>Groceries</t>
        </is>
      </c>
      <c r="F376" s="7" t="inlineStr">
        <is>
          <t>Drinks</t>
        </is>
      </c>
      <c r="G376" s="0" t="inlineStr">
        <is>
          <t>1L x 3</t>
        </is>
      </c>
      <c r="H376" s="0" t="n"/>
      <c r="I376" s="7">
        <f>IF(H376="","",VALUE(LEFT(H376,FIND("/",H376)-1))/VALUE(MID(H376,FIND("/",H376)+1,99)))</f>
        <v/>
      </c>
      <c r="J376" s="0" t="inlineStr">
        <is>
          <t>Three-pack family carton; price tag appears to read HK$42.0 but is partly obscured</t>
        </is>
      </c>
      <c r="K376" s="0" t="inlineStr">
        <is>
          <t>https://www.pns.hk/en/chocolate-milk-beverage/p/BP_316437</t>
        </is>
      </c>
      <c r="L376" s="0" t="inlineStr">
        <is>
          <t>IMG_7061.HEIC</t>
        </is>
      </c>
    </row>
    <row r="377">
      <c r="A377" s="0" t="n">
        <v>372</v>
      </c>
      <c r="B377" s="6" t="inlineStr">
        <is>
          <t>MENGNIU</t>
        </is>
      </c>
      <c r="C377" s="6" t="inlineStr">
        <is>
          <t>MENGNIU Pure Milk</t>
        </is>
      </c>
      <c r="D377" s="0" t="n">
        <v>52.9</v>
      </c>
      <c r="E377" s="7" t="inlineStr">
        <is>
          <t>Fresh Food</t>
        </is>
      </c>
      <c r="F377" s="7" t="inlineStr">
        <is>
          <t>Dairy</t>
        </is>
      </c>
      <c r="G377" s="0" t="inlineStr">
        <is>
          <t>3x1L</t>
        </is>
      </c>
      <c r="H377" s="0" t="n"/>
      <c r="I377" s="7">
        <f>IF(H377="","",VALUE(LEFT(H377,FIND("/",H377)-1))/VALUE(MID(H377,FIND("/",H377)+1,99)))</f>
        <v/>
      </c>
      <c r="J377" s="0" t="inlineStr">
        <is>
          <t>Three-pack carton; Chinese packaging matched to MENGNIU Pure Milk</t>
        </is>
      </c>
      <c r="K377" s="0" t="inlineStr">
        <is>
          <t>https://www.pns.hk/en/pure-milk/p/BP_358217</t>
        </is>
      </c>
      <c r="L377" s="0" t="inlineStr">
        <is>
          <t>IMG_7061.HEIC</t>
        </is>
      </c>
    </row>
    <row r="378">
      <c r="A378" s="0" t="n">
        <v>373</v>
      </c>
      <c r="B378" s="6" t="inlineStr">
        <is>
          <t>Pauls</t>
        </is>
      </c>
      <c r="C378" s="6" t="inlineStr">
        <is>
          <t>Pauls Pure Milk UHT Export 4x3x1L HK</t>
        </is>
      </c>
      <c r="D378" s="0" t="n">
        <v>45</v>
      </c>
      <c r="E378" s="7" t="inlineStr">
        <is>
          <t>Fresh Food</t>
        </is>
      </c>
      <c r="F378" s="7" t="inlineStr">
        <is>
          <t>Dairy</t>
        </is>
      </c>
      <c r="G378" s="0" t="inlineStr">
        <is>
          <t>1L x 3</t>
        </is>
      </c>
      <c r="H378" s="0" t="n"/>
      <c r="I378" s="7">
        <f>IF(H378="","",VALUE(LEFT(H378,FIND("/",H378)-1))/VALUE(MID(H378,FIND("/",H378)+1,99)))</f>
        <v/>
      </c>
      <c r="J378" s="0" t="inlineStr">
        <is>
          <t>Discounted; OP = 78.0</t>
        </is>
      </c>
      <c r="K378" s="0" t="inlineStr">
        <is>
          <t>https://www.pns.hk/en/pauls-pure-milk-uht-export-4x3x1l-hk/p/BP_110103</t>
        </is>
      </c>
      <c r="L378" s="0" t="inlineStr">
        <is>
          <t>IMG_7061.HEIC</t>
        </is>
      </c>
    </row>
    <row r="379">
      <c r="A379" s="0" t="n">
        <v>374</v>
      </c>
      <c r="B379" s="6" t="inlineStr">
        <is>
          <t>Pauls</t>
        </is>
      </c>
      <c r="C379" s="6" t="inlineStr">
        <is>
          <t>Pauls Skimmed Milk UHT Export 4x3x1L</t>
        </is>
      </c>
      <c r="D379" s="0" t="n">
        <v>45</v>
      </c>
      <c r="E379" s="7" t="inlineStr">
        <is>
          <t>Fresh Food</t>
        </is>
      </c>
      <c r="F379" s="7" t="inlineStr">
        <is>
          <t>Dairy</t>
        </is>
      </c>
      <c r="G379" s="0" t="inlineStr">
        <is>
          <t>1L x 3</t>
        </is>
      </c>
      <c r="H379" s="0" t="n"/>
      <c r="I379" s="7">
        <f>IF(H379="","",VALUE(LEFT(H379,FIND("/",H379)-1))/VALUE(MID(H379,FIND("/",H379)+1,99)))</f>
        <v/>
      </c>
      <c r="J379" s="0" t="inlineStr">
        <is>
          <t>Discounted; OP = 78.0</t>
        </is>
      </c>
      <c r="K379" s="0" t="inlineStr">
        <is>
          <t>https://www.pns.hk/en/all-brands/b/116180/pauls</t>
        </is>
      </c>
      <c r="L379" s="0" t="inlineStr">
        <is>
          <t>IMG_7061.HEIC</t>
        </is>
      </c>
    </row>
    <row r="380">
      <c r="A380" s="0" t="n">
        <v>375</v>
      </c>
      <c r="B380" s="6" t="inlineStr">
        <is>
          <t>Pauls</t>
        </is>
      </c>
      <c r="C380" s="6" t="inlineStr">
        <is>
          <t>Pauls High Calcium Low Fat Milk Beverage UHT Export 4x3x1L</t>
        </is>
      </c>
      <c r="D380" s="0" t="n">
        <v>45</v>
      </c>
      <c r="E380" s="7" t="inlineStr">
        <is>
          <t>Fresh Food</t>
        </is>
      </c>
      <c r="F380" s="7" t="inlineStr">
        <is>
          <t>Dairy</t>
        </is>
      </c>
      <c r="G380" s="0" t="inlineStr">
        <is>
          <t>1L x 3</t>
        </is>
      </c>
      <c r="H380" s="0" t="n"/>
      <c r="I380" s="7">
        <f>IF(H380="","",VALUE(LEFT(H380,FIND("/",H380)-1))/VALUE(MID(H380,FIND("/",H380)+1,99)))</f>
        <v/>
      </c>
      <c r="J380" s="0" t="inlineStr">
        <is>
          <t>Discounted; OP = 78.0</t>
        </is>
      </c>
      <c r="K380" s="0" t="inlineStr">
        <is>
          <t>https://www.pns.hk/en/all-brands/b/116180/pauls</t>
        </is>
      </c>
      <c r="L380" s="0" t="inlineStr">
        <is>
          <t>IMG_7061.HEIC</t>
        </is>
      </c>
    </row>
    <row r="381">
      <c r="A381" s="0" t="n">
        <v>376</v>
      </c>
      <c r="B381" s="6" t="inlineStr">
        <is>
          <t>OldTown</t>
        </is>
      </c>
      <c r="C381" s="6" t="inlineStr">
        <is>
          <t>OldTown coffee product (variant unclear)</t>
        </is>
      </c>
      <c r="D381" s="0" t="n"/>
      <c r="E381" s="7" t="inlineStr">
        <is>
          <t>Groceries</t>
        </is>
      </c>
      <c r="F381" s="7" t="inlineStr">
        <is>
          <t>Hot Drinks</t>
        </is>
      </c>
      <c r="G381" s="0" t="inlineStr">
        <is>
          <t>Unknown</t>
        </is>
      </c>
      <c r="H381" s="0" t="n"/>
      <c r="I381" s="7">
        <f>IF(H381="","",VALUE(LEFT(H381,FIND("/",H381)-1))/VALUE(MID(H381,FIND("/",H381)+1,99)))</f>
        <v/>
      </c>
      <c r="J381" s="0" t="inlineStr">
        <is>
          <t>OldTown package is visible at the right edge, but flavour, size and price are obscured</t>
        </is>
      </c>
      <c r="K381" s="0" t="str"/>
      <c r="L381" s="0" t="inlineStr">
        <is>
          <t>IMG_7061.HEIC</t>
        </is>
      </c>
    </row>
    <row r="382">
      <c r="A382" s="0" t="n">
        <v>377</v>
      </c>
      <c r="B382" s="6" t="inlineStr">
        <is>
          <t>Unknown</t>
        </is>
      </c>
      <c r="C382" s="6" t="inlineStr">
        <is>
          <t>Unknown packaged product (bottom-edge partial facings)</t>
        </is>
      </c>
      <c r="D382" s="0" t="n"/>
      <c r="E382" s="7" t="inlineStr">
        <is>
          <t>Groceries</t>
        </is>
      </c>
      <c r="F382" s="7" t="inlineStr">
        <is>
          <t>Drinks</t>
        </is>
      </c>
      <c r="G382" s="0" t="inlineStr">
        <is>
          <t>Unknown</t>
        </is>
      </c>
      <c r="H382" s="0" t="n"/>
      <c r="I382" s="7">
        <f>IF(H382="","",VALUE(LEFT(H382,FIND("/",H382)-1))/VALUE(MID(H382,FIND("/",H382)+1,99)))</f>
        <v/>
      </c>
      <c r="J382" s="0" t="inlineStr">
        <is>
          <t>Only the tops of several packages are visible at the bottom edge of IMG_7061</t>
        </is>
      </c>
      <c r="K382" s="0" t="str"/>
      <c r="L382" s="0" t="inlineStr">
        <is>
          <t>IMG_7061.HEIC</t>
        </is>
      </c>
    </row>
    <row r="383">
      <c r="A383" s="0" t="n">
        <v>378</v>
      </c>
      <c r="B383" s="6" t="inlineStr">
        <is>
          <t>MILK DELUXE</t>
        </is>
      </c>
      <c r="C383" s="6" t="inlineStr">
        <is>
          <t>Milk Deluxe Pure Milk</t>
        </is>
      </c>
      <c r="D383" s="0" t="n">
        <v>65</v>
      </c>
      <c r="E383" s="7" t="inlineStr">
        <is>
          <t>Fresh Food</t>
        </is>
      </c>
      <c r="F383" s="7" t="inlineStr">
        <is>
          <t>Dairy</t>
        </is>
      </c>
      <c r="G383" s="0" t="inlineStr">
        <is>
          <t>250ML x 8</t>
        </is>
      </c>
      <c r="H383" s="0" t="n"/>
      <c r="I383" s="7">
        <f>IF(H383="","",VALUE(LEFT(H383,FIND("/",H383)-1))/VALUE(MID(H383,FIND("/",H383)+1,99)))</f>
        <v/>
      </c>
      <c r="J383" s="0" t="inlineStr">
        <is>
          <t>Discounted; image shelf tag appears to read HK$65.0; PNS lists HK$65.0 from HK$70.5</t>
        </is>
      </c>
      <c r="K383" s="0" t="inlineStr">
        <is>
          <t>https://www.pns.hk/en/food-beverages/whole-milk/c/04110402</t>
        </is>
      </c>
      <c r="L383" s="0" t="inlineStr">
        <is>
          <t>IMG_7062.HEIC</t>
        </is>
      </c>
    </row>
    <row r="384">
      <c r="A384" s="0" t="n">
        <v>379</v>
      </c>
      <c r="B384" s="6" t="inlineStr">
        <is>
          <t>VITA</t>
        </is>
      </c>
      <c r="C384" s="6" t="inlineStr">
        <is>
          <t>VITA Pure Milk</t>
        </is>
      </c>
      <c r="D384" s="0" t="n">
        <v>38</v>
      </c>
      <c r="E384" s="7" t="inlineStr">
        <is>
          <t>Fresh Food</t>
        </is>
      </c>
      <c r="F384" s="7" t="inlineStr">
        <is>
          <t>Dairy</t>
        </is>
      </c>
      <c r="G384" s="0" t="inlineStr">
        <is>
          <t>236ML x 6</t>
        </is>
      </c>
      <c r="H384" s="0" t="inlineStr">
        <is>
          <t>52/2</t>
        </is>
      </c>
      <c r="I384" s="7">
        <f>IF(H384="","",VALUE(LEFT(H384,FIND("/",H384)-1))/VALUE(MID(H384,FIND("/",H384)+1,99)))</f>
        <v/>
      </c>
      <c r="J384" s="0" t="inlineStr">
        <is>
          <t>Small-pack pure milk; shelf label reads HK$38.0 and HK$52/2</t>
        </is>
      </c>
      <c r="K384" s="0" t="inlineStr">
        <is>
          <t>https://www.vitavitasoy.com/en/product/milk</t>
        </is>
      </c>
      <c r="L384" s="0" t="inlineStr">
        <is>
          <t>IMG_7062.HEIC</t>
        </is>
      </c>
    </row>
    <row r="385">
      <c r="A385" s="0" t="n">
        <v>380</v>
      </c>
      <c r="B385" s="6" t="inlineStr">
        <is>
          <t>Dutch Lady</t>
        </is>
      </c>
      <c r="C385" s="6" t="inlineStr">
        <is>
          <t>Dutch Lady Purefarm Original Milk</t>
        </is>
      </c>
      <c r="D385" s="0" t="n">
        <v>63</v>
      </c>
      <c r="E385" s="7" t="inlineStr">
        <is>
          <t>Fresh Food</t>
        </is>
      </c>
      <c r="F385" s="7" t="inlineStr">
        <is>
          <t>Dairy</t>
        </is>
      </c>
      <c r="G385" s="0" t="inlineStr">
        <is>
          <t>3x946ML</t>
        </is>
      </c>
      <c r="H385" s="0" t="inlineStr">
        <is>
          <t>126/3</t>
        </is>
      </c>
      <c r="I385" s="7">
        <f>IF(H385="","",VALUE(LEFT(H385,FIND("/",H385)-1))/VALUE(MID(H385,FIND("/",H385)+1,99)))</f>
        <v/>
      </c>
      <c r="J385" s="0" t="inlineStr">
        <is>
          <t>Buy 2 Get 1 Free sign visible</t>
        </is>
      </c>
      <c r="K385" s="0" t="inlineStr">
        <is>
          <t>https://www.pns.hk/en/purefarm-original-milk/p/BP_463125</t>
        </is>
      </c>
      <c r="L385" s="0" t="inlineStr">
        <is>
          <t>IMG_7062.HEIC</t>
        </is>
      </c>
    </row>
    <row r="386">
      <c r="A386" s="0" t="n">
        <v>381</v>
      </c>
      <c r="B386" s="6" t="inlineStr">
        <is>
          <t>Dutch Lady</t>
        </is>
      </c>
      <c r="C386" s="6" t="inlineStr">
        <is>
          <t>Dutch Lady Purefarm Hi-cal Less Fat Milk</t>
        </is>
      </c>
      <c r="D386" s="0" t="n">
        <v>63</v>
      </c>
      <c r="E386" s="7" t="inlineStr">
        <is>
          <t>Fresh Food</t>
        </is>
      </c>
      <c r="F386" s="7" t="inlineStr">
        <is>
          <t>Dairy</t>
        </is>
      </c>
      <c r="G386" s="0" t="inlineStr">
        <is>
          <t>3x946ML</t>
        </is>
      </c>
      <c r="H386" s="0" t="inlineStr">
        <is>
          <t>126/3</t>
        </is>
      </c>
      <c r="I386" s="7">
        <f>IF(H386="","",VALUE(LEFT(H386,FIND("/",H386)-1))/VALUE(MID(H386,FIND("/",H386)+1,99)))</f>
        <v/>
      </c>
      <c r="J386" s="0" t="inlineStr">
        <is>
          <t>Buy 2 Get 1 Free sign visible</t>
        </is>
      </c>
      <c r="K386" s="0" t="inlineStr">
        <is>
          <t>https://www.pns.hk/en/purefarm-hi-cal-less-fat-milk/p/BP_491776</t>
        </is>
      </c>
      <c r="L386" s="0" t="inlineStr">
        <is>
          <t>IMG_7062.HEIC</t>
        </is>
      </c>
    </row>
    <row r="387">
      <c r="A387" s="0" t="n">
        <v>382</v>
      </c>
      <c r="B387" s="6" t="inlineStr">
        <is>
          <t>STARBUCKS</t>
        </is>
      </c>
      <c r="C387" s="6" t="inlineStr">
        <is>
          <t>Starbucks® House Blend By Nespresso (10 Caps)</t>
        </is>
      </c>
      <c r="D387" s="0" t="n">
        <v>56</v>
      </c>
      <c r="E387" s="7" t="inlineStr">
        <is>
          <t>Groceries</t>
        </is>
      </c>
      <c r="F387" s="7" t="inlineStr">
        <is>
          <t>Hot Drinks</t>
        </is>
      </c>
      <c r="G387" s="0" t="inlineStr">
        <is>
          <t>52G</t>
        </is>
      </c>
      <c r="H387" s="0" t="n"/>
      <c r="I387" s="7">
        <f>IF(H387="","",VALUE(LEFT(H387,FIND("/",H387)-1))/VALUE(MID(H387,FIND("/",H387)+1,99)))</f>
        <v/>
      </c>
      <c r="J387" s="0" t="n"/>
      <c r="K387" s="0" t="inlineStr">
        <is>
          <t>https://www.pns.hk/en/starbucks%C2%AE-house-blend-by-nespresso-10-caps/p/BP_106615</t>
        </is>
      </c>
      <c r="L387" s="0" t="inlineStr">
        <is>
          <t>IMG_7063.HEIC</t>
        </is>
      </c>
    </row>
    <row r="388">
      <c r="A388" s="0" t="n">
        <v>383</v>
      </c>
      <c r="B388" s="6" t="inlineStr">
        <is>
          <t>STARBUCKS</t>
        </is>
      </c>
      <c r="C388" s="6" t="inlineStr">
        <is>
          <t>Starbucks® Caffè Verona™ By Nespresso (10 Caps)</t>
        </is>
      </c>
      <c r="D388" s="0" t="n">
        <v>56</v>
      </c>
      <c r="E388" s="7" t="inlineStr">
        <is>
          <t>Groceries</t>
        </is>
      </c>
      <c r="F388" s="7" t="inlineStr">
        <is>
          <t>Hot Drinks</t>
        </is>
      </c>
      <c r="G388" s="0" t="inlineStr">
        <is>
          <t>55G</t>
        </is>
      </c>
      <c r="H388" s="0" t="n"/>
      <c r="I388" s="7">
        <f>IF(H388="","",VALUE(LEFT(H388,FIND("/",H388)-1))/VALUE(MID(H388,FIND("/",H388)+1,99)))</f>
        <v/>
      </c>
      <c r="J388" s="0" t="n"/>
      <c r="K388" s="0" t="inlineStr">
        <is>
          <t>https://www.pns.hk/en/coffee-capsule/c/04010608</t>
        </is>
      </c>
      <c r="L388" s="0" t="inlineStr">
        <is>
          <t>IMG_7063.HEIC</t>
        </is>
      </c>
    </row>
    <row r="389">
      <c r="A389" s="0" t="n">
        <v>384</v>
      </c>
      <c r="B389" s="6" t="inlineStr">
        <is>
          <t>STARBUCKS</t>
        </is>
      </c>
      <c r="C389" s="6" t="inlineStr">
        <is>
          <t>Starbucks® Italian Style Roast By Nespresso (10 Caps)</t>
        </is>
      </c>
      <c r="D389" s="0" t="n">
        <v>56</v>
      </c>
      <c r="E389" s="7" t="inlineStr">
        <is>
          <t>Groceries</t>
        </is>
      </c>
      <c r="F389" s="7" t="inlineStr">
        <is>
          <t>Hot Drinks</t>
        </is>
      </c>
      <c r="G389" s="0" t="inlineStr">
        <is>
          <t>56G</t>
        </is>
      </c>
      <c r="H389" s="0" t="n"/>
      <c r="I389" s="7">
        <f>IF(H389="","",VALUE(LEFT(H389,FIND("/",H389)-1))/VALUE(MID(H389,FIND("/",H389)+1,99)))</f>
        <v/>
      </c>
      <c r="J389" s="0" t="n"/>
      <c r="K389" s="0" t="inlineStr">
        <is>
          <t>https://www.pns.hk/en/b/130778/starbucks</t>
        </is>
      </c>
      <c r="L389" s="0" t="inlineStr">
        <is>
          <t>IMG_7063.HEIC</t>
        </is>
      </c>
    </row>
    <row r="390">
      <c r="A390" s="0" t="n">
        <v>385</v>
      </c>
      <c r="B390" s="6" t="inlineStr">
        <is>
          <t>STARBUCKS</t>
        </is>
      </c>
      <c r="C390" s="6" t="inlineStr">
        <is>
          <t>Starbucks® Espresso Roast By Nespresso (10 Caps)</t>
        </is>
      </c>
      <c r="D390" s="0" t="n">
        <v>56</v>
      </c>
      <c r="E390" s="7" t="inlineStr">
        <is>
          <t>Groceries</t>
        </is>
      </c>
      <c r="F390" s="7" t="inlineStr">
        <is>
          <t>Hot Drinks</t>
        </is>
      </c>
      <c r="G390" s="0" t="inlineStr">
        <is>
          <t>55G</t>
        </is>
      </c>
      <c r="H390" s="0" t="n"/>
      <c r="I390" s="7">
        <f>IF(H390="","",VALUE(LEFT(H390,FIND("/",H390)-1))/VALUE(MID(H390,FIND("/",H390)+1,99)))</f>
        <v/>
      </c>
      <c r="J390" s="0" t="n"/>
      <c r="K390" s="0" t="inlineStr">
        <is>
          <t>https://www.pns.hk/en/espresso-roast-coffee-capsules/p/BP_106206</t>
        </is>
      </c>
      <c r="L390" s="0" t="inlineStr">
        <is>
          <t>IMG_7063.HEIC</t>
        </is>
      </c>
    </row>
    <row r="391">
      <c r="A391" s="0" t="n">
        <v>386</v>
      </c>
      <c r="B391" s="6" t="inlineStr">
        <is>
          <t>STARBUCKS</t>
        </is>
      </c>
      <c r="C391" s="6" t="inlineStr">
        <is>
          <t>Starbucks® Single Origin Colombia By Nespresso (10 Caps)</t>
        </is>
      </c>
      <c r="D391" s="0" t="n">
        <v>56</v>
      </c>
      <c r="E391" s="7" t="inlineStr">
        <is>
          <t>Groceries</t>
        </is>
      </c>
      <c r="F391" s="7" t="inlineStr">
        <is>
          <t>Hot Drinks</t>
        </is>
      </c>
      <c r="G391" s="0" t="inlineStr">
        <is>
          <t>57G</t>
        </is>
      </c>
      <c r="H391" s="0" t="n"/>
      <c r="I391" s="7">
        <f>IF(H391="","",VALUE(LEFT(H391,FIND("/",H391)-1))/VALUE(MID(H391,FIND("/",H391)+1,99)))</f>
        <v/>
      </c>
      <c r="J391" s="0" t="n"/>
      <c r="K391" s="0" t="inlineStr">
        <is>
          <t>https://www.pns.hk/en/single-orig-colombia-coffee-capsules/p/BP_106614</t>
        </is>
      </c>
      <c r="L391" s="0" t="inlineStr">
        <is>
          <t>IMG_7063.HEIC</t>
        </is>
      </c>
    </row>
    <row r="392">
      <c r="A392" s="0" t="n">
        <v>387</v>
      </c>
      <c r="B392" s="6" t="inlineStr">
        <is>
          <t>STARBUCKS</t>
        </is>
      </c>
      <c r="C392" s="6" t="inlineStr">
        <is>
          <t>Starbucks Cappuccino Premium Mixes</t>
        </is>
      </c>
      <c r="D392" s="0" t="n">
        <v>29.9</v>
      </c>
      <c r="E392" s="7" t="inlineStr">
        <is>
          <t>Groceries</t>
        </is>
      </c>
      <c r="F392" s="7" t="inlineStr">
        <is>
          <t>Hot Drinks</t>
        </is>
      </c>
      <c r="G392" s="0" t="inlineStr">
        <is>
          <t>4'S</t>
        </is>
      </c>
      <c r="H392" s="0" t="n"/>
      <c r="I392" s="7">
        <f>IF(H392="","",VALUE(LEFT(H392,FIND("/",H392)-1))/VALUE(MID(H392,FIND("/",H392)+1,99)))</f>
        <v/>
      </c>
      <c r="J392" s="0" t="n"/>
      <c r="K392" s="0" t="inlineStr">
        <is>
          <t>https://www.pns.hk/en/cappuccino-premium-mixes/p/BP_401354</t>
        </is>
      </c>
      <c r="L392" s="0" t="inlineStr">
        <is>
          <t>IMG_7063.HEIC</t>
        </is>
      </c>
    </row>
    <row r="393">
      <c r="A393" s="0" t="n">
        <v>388</v>
      </c>
      <c r="B393" s="6" t="inlineStr">
        <is>
          <t>STARBUCKS</t>
        </is>
      </c>
      <c r="C393" s="6" t="inlineStr">
        <is>
          <t>Starbucks Caramel Latte Premium Mixes</t>
        </is>
      </c>
      <c r="D393" s="0" t="n">
        <v>29.9</v>
      </c>
      <c r="E393" s="7" t="inlineStr">
        <is>
          <t>Groceries</t>
        </is>
      </c>
      <c r="F393" s="7" t="inlineStr">
        <is>
          <t>Hot Drinks</t>
        </is>
      </c>
      <c r="G393" s="0" t="inlineStr">
        <is>
          <t>4'S</t>
        </is>
      </c>
      <c r="H393" s="0" t="n"/>
      <c r="I393" s="7">
        <f>IF(H393="","",VALUE(LEFT(H393,FIND("/",H393)-1))/VALUE(MID(H393,FIND("/",H393)+1,99)))</f>
        <v/>
      </c>
      <c r="J393" s="0" t="n"/>
      <c r="K393" s="0" t="inlineStr">
        <is>
          <t>https://www.pns.hk/en/caramel-latte-premium-mixes/p/BP_401357</t>
        </is>
      </c>
      <c r="L393" s="0" t="inlineStr">
        <is>
          <t>IMG_7063.HEIC</t>
        </is>
      </c>
    </row>
    <row r="394">
      <c r="A394" s="0" t="n">
        <v>389</v>
      </c>
      <c r="B394" s="6" t="inlineStr">
        <is>
          <t>Unknown</t>
        </is>
      </c>
      <c r="C394" s="6" t="inlineStr">
        <is>
          <t>Unknown coffee product (middle-shelf left-edge partial)</t>
        </is>
      </c>
      <c r="D394" s="0" t="n"/>
      <c r="E394" s="7" t="inlineStr">
        <is>
          <t>Groceries</t>
        </is>
      </c>
      <c r="F394" s="7" t="inlineStr">
        <is>
          <t>Hot Drinks</t>
        </is>
      </c>
      <c r="G394" s="0" t="inlineStr">
        <is>
          <t>Unknown</t>
        </is>
      </c>
      <c r="H394" s="0" t="n"/>
      <c r="I394" s="7">
        <f>IF(H394="","",VALUE(LEFT(H394,FIND("/",H394)-1))/VALUE(MID(H394,FIND("/",H394)+1,99)))</f>
        <v/>
      </c>
      <c r="J394" s="0" t="inlineStr">
        <is>
          <t>Only a partial blue package is visible at the left edge; brand, variant, weight and price are unreadable</t>
        </is>
      </c>
      <c r="K394" s="0" t="str"/>
      <c r="L394" s="0" t="inlineStr">
        <is>
          <t>IMG_7063.HEIC</t>
        </is>
      </c>
    </row>
    <row r="395">
      <c r="A395" s="0" t="n">
        <v>390</v>
      </c>
      <c r="B395" s="6" t="inlineStr">
        <is>
          <t>KEY COFFEE</t>
        </is>
      </c>
      <c r="C395" s="6" t="inlineStr">
        <is>
          <t>KEY COFFEE Drip On Variety Pack</t>
        </is>
      </c>
      <c r="D395" s="0" t="n">
        <v>50</v>
      </c>
      <c r="E395" s="7" t="inlineStr">
        <is>
          <t>Groceries</t>
        </is>
      </c>
      <c r="F395" s="7" t="inlineStr">
        <is>
          <t>Hot Drinks</t>
        </is>
      </c>
      <c r="G395" s="0" t="inlineStr">
        <is>
          <t>80G / 12PK</t>
        </is>
      </c>
      <c r="H395" s="0" t="n"/>
      <c r="I395" s="7">
        <f>IF(H395="","",VALUE(LEFT(H395,FIND("/",H395)-1))/VALUE(MID(H395,FIND("/",H395)+1,99)))</f>
        <v/>
      </c>
      <c r="J395" s="0" t="inlineStr">
        <is>
          <t>Discounted; OP = 59.9; six varieties are shown on the package</t>
        </is>
      </c>
      <c r="K395" s="0" t="inlineStr">
        <is>
          <t>https://www.pns.hk/en/selected-hot-coffee-drink-coffee-capsule/c/selectedcoffee</t>
        </is>
      </c>
      <c r="L395" s="0" t="inlineStr">
        <is>
          <t>IMG_7063.HEIC</t>
        </is>
      </c>
    </row>
    <row r="396">
      <c r="A396" s="0" t="n">
        <v>391</v>
      </c>
      <c r="B396" s="6" t="inlineStr">
        <is>
          <t>KEY COFFEE</t>
        </is>
      </c>
      <c r="C396" s="6" t="inlineStr">
        <is>
          <t>KEY COFFEE Drip On Special Blend</t>
        </is>
      </c>
      <c r="D396" s="0" t="n">
        <v>36</v>
      </c>
      <c r="E396" s="7" t="inlineStr">
        <is>
          <t>Groceries</t>
        </is>
      </c>
      <c r="F396" s="7" t="inlineStr">
        <is>
          <t>Hot Drinks</t>
        </is>
      </c>
      <c r="G396" s="0" t="inlineStr">
        <is>
          <t>8G x 10</t>
        </is>
      </c>
      <c r="H396" s="0" t="n"/>
      <c r="I396" s="7">
        <f>IF(H396="","",VALUE(LEFT(H396,FIND("/",H396)-1))/VALUE(MID(H396,FIND("/",H396)+1,99)))</f>
        <v/>
      </c>
      <c r="J396" s="0" t="inlineStr">
        <is>
          <t>Discounted; OP = 39.9</t>
        </is>
      </c>
      <c r="K396" s="0" t="inlineStr">
        <is>
          <t>https://www.pns.hk/en/drip-on-special-blend/p/BP_405198</t>
        </is>
      </c>
      <c r="L396" s="0" t="inlineStr">
        <is>
          <t>IMG_7063.HEIC</t>
        </is>
      </c>
    </row>
    <row r="397">
      <c r="A397" s="0" t="n">
        <v>392</v>
      </c>
      <c r="B397" s="6" t="inlineStr">
        <is>
          <t>UCC</t>
        </is>
      </c>
      <c r="C397" s="6" t="inlineStr">
        <is>
          <t>UCC Shokunin Drip Mild Blend (coffee)</t>
        </is>
      </c>
      <c r="D397" s="0" t="n">
        <v>35</v>
      </c>
      <c r="E397" s="7" t="inlineStr">
        <is>
          <t>Groceries</t>
        </is>
      </c>
      <c r="F397" s="7" t="inlineStr">
        <is>
          <t>Hot Drinks</t>
        </is>
      </c>
      <c r="G397" s="0" t="inlineStr">
        <is>
          <t>16P</t>
        </is>
      </c>
      <c r="H397" s="0" t="n"/>
      <c r="I397" s="7">
        <f>IF(H397="","",VALUE(LEFT(H397,FIND("/",H397)-1))/VALUE(MID(H397,FIND("/",H397)+1,99)))</f>
        <v/>
      </c>
      <c r="J397" s="0" t="inlineStr">
        <is>
          <t>Discounted; OP = 50.0</t>
        </is>
      </c>
      <c r="K397" s="0" t="inlineStr">
        <is>
          <t>https://www.pns.hk/en/special-blend-of-drip-coffee/p/BP_401346</t>
        </is>
      </c>
      <c r="L397" s="0" t="inlineStr">
        <is>
          <t>IMG_7063.HEIC</t>
        </is>
      </c>
    </row>
    <row r="398">
      <c r="A398" s="0" t="n">
        <v>393</v>
      </c>
      <c r="B398" s="6" t="inlineStr">
        <is>
          <t>MAXWELL</t>
        </is>
      </c>
      <c r="C398" s="6" t="inlineStr">
        <is>
          <t>MAXWELL Coffee Mix 3 In 1</t>
        </is>
      </c>
      <c r="D398" s="0" t="n">
        <v>38</v>
      </c>
      <c r="E398" s="7" t="inlineStr">
        <is>
          <t>Groceries</t>
        </is>
      </c>
      <c r="F398" s="7" t="inlineStr">
        <is>
          <t>Hot Drinks</t>
        </is>
      </c>
      <c r="G398" s="0" t="inlineStr">
        <is>
          <t>20+4'S</t>
        </is>
      </c>
      <c r="H398" s="0" t="n"/>
      <c r="I398" s="7">
        <f>IF(H398="","",VALUE(LEFT(H398,FIND("/",H398)-1))/VALUE(MID(H398,FIND("/",H398)+1,99)))</f>
        <v/>
      </c>
      <c r="J398" s="0" t="inlineStr">
        <is>
          <t>Discounted; OP = 50.0</t>
        </is>
      </c>
      <c r="K398" s="0" t="inlineStr">
        <is>
          <t>https://www.pns.hk/en/coffee-mix-3-in-1/p/BP_112222</t>
        </is>
      </c>
      <c r="L398" s="0" t="inlineStr">
        <is>
          <t>IMG_7063.HEIC</t>
        </is>
      </c>
    </row>
    <row r="399">
      <c r="A399" s="0" t="n">
        <v>394</v>
      </c>
      <c r="B399" s="6" t="inlineStr">
        <is>
          <t>CASINO</t>
        </is>
      </c>
      <c r="C399" s="6" t="inlineStr">
        <is>
          <t>CASINO Coffee Espresso [France]</t>
        </is>
      </c>
      <c r="D399" s="0" t="n">
        <v>69.90000000000001</v>
      </c>
      <c r="E399" s="7" t="inlineStr">
        <is>
          <t>Groceries</t>
        </is>
      </c>
      <c r="F399" s="7" t="inlineStr">
        <is>
          <t>Hot Drinks</t>
        </is>
      </c>
      <c r="G399" s="0" t="inlineStr">
        <is>
          <t>250G</t>
        </is>
      </c>
      <c r="H399" s="0" t="inlineStr">
        <is>
          <t>118/2</t>
        </is>
      </c>
      <c r="I399" s="7">
        <f>IF(H399="","",VALUE(LEFT(H399,FIND("/",H399)-1))/VALUE(MID(H399,FIND("/",H399)+1,99)))</f>
        <v/>
      </c>
      <c r="J399" s="0" t="inlineStr">
        <is>
          <t>Buy 2 promotion visible on shelf label</t>
        </is>
      </c>
      <c r="K399" s="0" t="inlineStr">
        <is>
          <t>https://www.pns.hk/en/coffee-espresso-france/p/BP_382760</t>
        </is>
      </c>
      <c r="L399" s="0" t="inlineStr">
        <is>
          <t>IMG_7063.HEIC</t>
        </is>
      </c>
    </row>
    <row r="400">
      <c r="A400" s="0" t="n">
        <v>395</v>
      </c>
      <c r="B400" s="6" t="inlineStr">
        <is>
          <t>MAXWELL</t>
        </is>
      </c>
      <c r="C400" s="6" t="inlineStr">
        <is>
          <t>MAXWELL 3+1 Rich Coffee</t>
        </is>
      </c>
      <c r="D400" s="0" t="n"/>
      <c r="E400" s="7" t="inlineStr">
        <is>
          <t>Groceries</t>
        </is>
      </c>
      <c r="F400" s="7" t="inlineStr">
        <is>
          <t>Hot Drinks</t>
        </is>
      </c>
      <c r="G400" s="0" t="inlineStr">
        <is>
          <t>20'S</t>
        </is>
      </c>
      <c r="H400" s="0" t="n"/>
      <c r="I400" s="7">
        <f>IF(H400="","",VALUE(LEFT(H400,FIND("/",H400)-1))/VALUE(MID(H400,FIND("/",H400)+1,99)))</f>
        <v/>
      </c>
      <c r="J400" s="0" t="inlineStr">
        <is>
          <t>Lower-shelf product; price is out of frame</t>
        </is>
      </c>
      <c r="K400" s="0" t="inlineStr">
        <is>
          <t>https://www.pns.hk/en/all-brands/b/113319/maxwell</t>
        </is>
      </c>
      <c r="L400" s="0" t="inlineStr">
        <is>
          <t>IMG_7063.HEIC</t>
        </is>
      </c>
    </row>
    <row r="401">
      <c r="A401" s="0" t="n">
        <v>396</v>
      </c>
      <c r="B401" s="6" t="inlineStr">
        <is>
          <t>MAXWELL</t>
        </is>
      </c>
      <c r="C401" s="6" t="inlineStr">
        <is>
          <t>MAXWELL Coffee Mix Lite</t>
        </is>
      </c>
      <c r="D401" s="0" t="n"/>
      <c r="E401" s="7" t="inlineStr">
        <is>
          <t>Groceries</t>
        </is>
      </c>
      <c r="F401" s="7" t="inlineStr">
        <is>
          <t>Hot Drinks</t>
        </is>
      </c>
      <c r="G401" s="0" t="inlineStr">
        <is>
          <t>20PCS</t>
        </is>
      </c>
      <c r="H401" s="0" t="n"/>
      <c r="I401" s="7">
        <f>IF(H401="","",VALUE(LEFT(H401,FIND("/",H401)-1))/VALUE(MID(H401,FIND("/",H401)+1,99)))</f>
        <v/>
      </c>
      <c r="J401" s="0" t="inlineStr">
        <is>
          <t>Front packaging reads Low Fat; price is out of frame</t>
        </is>
      </c>
      <c r="K401" s="0" t="inlineStr">
        <is>
          <t>https://www.pns.hk/en/coffee-mix-lite/p/BP_128154</t>
        </is>
      </c>
      <c r="L401" s="0" t="inlineStr">
        <is>
          <t>IMG_7063.HEIC</t>
        </is>
      </c>
    </row>
    <row r="402">
      <c r="A402" s="0" t="n">
        <v>397</v>
      </c>
      <c r="B402" s="6" t="inlineStr">
        <is>
          <t>NESCAFE</t>
        </is>
      </c>
      <c r="C402" s="6" t="inlineStr">
        <is>
          <t>NESCAFÉ 1+2 Rich Instant Coffee Mix</t>
        </is>
      </c>
      <c r="D402" s="0" t="n"/>
      <c r="E402" s="7" t="inlineStr">
        <is>
          <t>Groceries</t>
        </is>
      </c>
      <c r="F402" s="7" t="inlineStr">
        <is>
          <t>Hot Drinks</t>
        </is>
      </c>
      <c r="G402" s="0" t="inlineStr">
        <is>
          <t>13G x 20</t>
        </is>
      </c>
      <c r="H402" s="0" t="n"/>
      <c r="I402" s="7">
        <f>IF(H402="","",VALUE(LEFT(H402,FIND("/",H402)-1))/VALUE(MID(H402,FIND("/",H402)+1,99)))</f>
        <v/>
      </c>
      <c r="J402" s="0" t="inlineStr">
        <is>
          <t>Green pack; price is out of frame</t>
        </is>
      </c>
      <c r="K402" s="0" t="inlineStr">
        <is>
          <t>https://shop.nestle.com.hk/en/products/nescafe-1-2-rich-instant-coffee-mix-20s</t>
        </is>
      </c>
      <c r="L402" s="0" t="inlineStr">
        <is>
          <t>IMG_7063.HEIC</t>
        </is>
      </c>
    </row>
    <row r="403">
      <c r="A403" s="0" t="n">
        <v>398</v>
      </c>
      <c r="B403" s="6" t="inlineStr">
        <is>
          <t>NESCAFE</t>
        </is>
      </c>
      <c r="C403" s="6" t="inlineStr">
        <is>
          <t>NESCAFÉ 1+2 Smooth Milky Mix</t>
        </is>
      </c>
      <c r="D403" s="0" t="n"/>
      <c r="E403" s="7" t="inlineStr">
        <is>
          <t>Groceries</t>
        </is>
      </c>
      <c r="F403" s="7" t="inlineStr">
        <is>
          <t>Hot Drinks</t>
        </is>
      </c>
      <c r="G403" s="0" t="inlineStr">
        <is>
          <t>15G x 20</t>
        </is>
      </c>
      <c r="H403" s="0" t="n"/>
      <c r="I403" s="7">
        <f>IF(H403="","",VALUE(LEFT(H403,FIND("/",H403)-1))/VALUE(MID(H403,FIND("/",H403)+1,99)))</f>
        <v/>
      </c>
      <c r="J403" s="0" t="inlineStr">
        <is>
          <t>Yellow pack; price is out of frame</t>
        </is>
      </c>
      <c r="K403" s="0" t="inlineStr">
        <is>
          <t>https://shop.nestle.com.hk/zh-hans/products/nescafe_1_2_smooth_milky_instant_coffee_mix_20s</t>
        </is>
      </c>
      <c r="L403" s="0" t="inlineStr">
        <is>
          <t>IMG_7063.HEIC</t>
        </is>
      </c>
    </row>
    <row r="404">
      <c r="A404" s="0" t="n">
        <v>399</v>
      </c>
      <c r="B404" s="6" t="inlineStr">
        <is>
          <t>Unknown</t>
        </is>
      </c>
      <c r="C404" s="6" t="inlineStr">
        <is>
          <t>Unknown coffee product (lower-shelf right-edge partial)</t>
        </is>
      </c>
      <c r="D404" s="0" t="n"/>
      <c r="E404" s="7" t="inlineStr">
        <is>
          <t>Groceries</t>
        </is>
      </c>
      <c r="F404" s="7" t="inlineStr">
        <is>
          <t>Hot Drinks</t>
        </is>
      </c>
      <c r="G404" s="0" t="inlineStr">
        <is>
          <t>Unknown</t>
        </is>
      </c>
      <c r="H404" s="0" t="n"/>
      <c r="I404" s="7">
        <f>IF(H404="","",VALUE(LEFT(H404,FIND("/",H404)-1))/VALUE(MID(H404,FIND("/",H404)+1,99)))</f>
        <v/>
      </c>
      <c r="J404" s="0" t="inlineStr">
        <is>
          <t>Only a blue/red package edge is visible; brand, variant, weight and price are unreadable</t>
        </is>
      </c>
      <c r="K404" s="0" t="str"/>
      <c r="L404" s="0" t="inlineStr">
        <is>
          <t>IMG_7063.HEIC</t>
        </is>
      </c>
    </row>
    <row r="405">
      <c r="A405" s="0" t="n">
        <v>400</v>
      </c>
      <c r="B405" s="6" t="inlineStr">
        <is>
          <t>NESCAFE</t>
        </is>
      </c>
      <c r="C405" s="6" t="inlineStr">
        <is>
          <t>NESCAFE 1+2 Coffee</t>
        </is>
      </c>
      <c r="D405" s="0" t="n"/>
      <c r="E405" s="7" t="inlineStr">
        <is>
          <t>Groceries</t>
        </is>
      </c>
      <c r="F405" s="7" t="inlineStr">
        <is>
          <t>Hot Drinks</t>
        </is>
      </c>
      <c r="G405" s="0" t="inlineStr">
        <is>
          <t>15GX20</t>
        </is>
      </c>
      <c r="H405" s="0" t="n"/>
      <c r="I405" s="7">
        <f>IF(H405="","",VALUE(LEFT(H405,FIND("/",H405)-1))/VALUE(MID(H405,FIND("/",H405)+1,99)))</f>
        <v/>
      </c>
      <c r="J405" s="0" t="inlineStr">
        <is>
          <t>Red/original pack; shelf price is obscured by the shelf rail</t>
        </is>
      </c>
      <c r="K405" s="0" t="inlineStr">
        <is>
          <t>https://www.pns.hk/en/1-2-coffee/p/BP_433666</t>
        </is>
      </c>
      <c r="L405" s="0" t="inlineStr">
        <is>
          <t>IMG_7064.HEIC</t>
        </is>
      </c>
    </row>
    <row r="406">
      <c r="A406" s="0" t="n">
        <v>401</v>
      </c>
      <c r="B406" s="6" t="inlineStr">
        <is>
          <t>NESCAFE</t>
        </is>
      </c>
      <c r="C406" s="6" t="inlineStr">
        <is>
          <t>NESCAFE Nescafe 1+2 Original Stick 15gx42</t>
        </is>
      </c>
      <c r="D406" s="0" t="n">
        <v>44</v>
      </c>
      <c r="E406" s="7" t="inlineStr">
        <is>
          <t>Groceries</t>
        </is>
      </c>
      <c r="F406" s="7" t="inlineStr">
        <is>
          <t>Hot Drinks</t>
        </is>
      </c>
      <c r="G406" s="0" t="inlineStr">
        <is>
          <t>15GX42</t>
        </is>
      </c>
      <c r="H406" s="0" t="n"/>
      <c r="I406" s="7">
        <f>IF(H406="","",VALUE(LEFT(H406,FIND("/",H406)-1))/VALUE(MID(H406,FIND("/",H406)+1,99)))</f>
        <v/>
      </c>
      <c r="J406" s="0" t="inlineStr">
        <is>
          <t>Free 6 Cups pack marking; not a multi-buy promotion</t>
        </is>
      </c>
      <c r="K406" s="0" t="inlineStr">
        <is>
          <t>https://www.pns.hk/en/b/114183</t>
        </is>
      </c>
      <c r="L406" s="0" t="inlineStr">
        <is>
          <t>IMG_7064.HEIC</t>
        </is>
      </c>
    </row>
    <row r="407">
      <c r="A407" s="0" t="n">
        <v>402</v>
      </c>
      <c r="B407" s="6" t="inlineStr">
        <is>
          <t>NESCAFE</t>
        </is>
      </c>
      <c r="C407" s="6" t="inlineStr">
        <is>
          <t>NESCAFE 1+2 Rich Instant Coffee Mix</t>
        </is>
      </c>
      <c r="D407" s="0" t="n">
        <v>44</v>
      </c>
      <c r="E407" s="7" t="inlineStr">
        <is>
          <t>Groceries</t>
        </is>
      </c>
      <c r="F407" s="7" t="inlineStr">
        <is>
          <t>Hot Drinks</t>
        </is>
      </c>
      <c r="G407" s="0" t="inlineStr">
        <is>
          <t>42X13G</t>
        </is>
      </c>
      <c r="H407" s="0" t="n"/>
      <c r="I407" s="7">
        <f>IF(H407="","",VALUE(LEFT(H407,FIND("/",H407)-1))/VALUE(MID(H407,FIND("/",H407)+1,99)))</f>
        <v/>
      </c>
      <c r="J407" s="0" t="inlineStr">
        <is>
          <t>Free 6 Cups pack marking; not a multi-buy promotion</t>
        </is>
      </c>
      <c r="K407" s="0" t="inlineStr">
        <is>
          <t>https://www.pns.hk/en/b/114183</t>
        </is>
      </c>
      <c r="L407" s="0" t="inlineStr">
        <is>
          <t>IMG_7064.HEIC</t>
        </is>
      </c>
    </row>
    <row r="408">
      <c r="A408" s="0" t="n">
        <v>403</v>
      </c>
      <c r="B408" s="6" t="inlineStr">
        <is>
          <t>NESCAFE</t>
        </is>
      </c>
      <c r="C408" s="6" t="inlineStr">
        <is>
          <t>NESCAFE Prm White Coffee Original 17+3</t>
        </is>
      </c>
      <c r="D408" s="0" t="n">
        <v>56.5</v>
      </c>
      <c r="E408" s="7" t="inlineStr">
        <is>
          <t>Groceries</t>
        </is>
      </c>
      <c r="F408" s="7" t="inlineStr">
        <is>
          <t>Hot Drinks</t>
        </is>
      </c>
      <c r="G408" s="0" t="inlineStr">
        <is>
          <t>20X29G</t>
        </is>
      </c>
      <c r="H408" s="0" t="n"/>
      <c r="I408" s="7">
        <f>IF(H408="","",VALUE(LEFT(H408,FIND("/",H408)-1))/VALUE(MID(H408,FIND("/",H408)+1,99)))</f>
        <v/>
      </c>
      <c r="J408" s="0" t="inlineStr">
        <is>
          <t>Free 3 Cups pack marking; not a multi-buy promotion</t>
        </is>
      </c>
      <c r="K408" s="0" t="inlineStr">
        <is>
          <t>https://www.pns.hk/en/b/114183</t>
        </is>
      </c>
      <c r="L408" s="0" t="inlineStr">
        <is>
          <t>IMG_7064.HEIC</t>
        </is>
      </c>
    </row>
    <row r="409">
      <c r="A409" s="0" t="n">
        <v>404</v>
      </c>
      <c r="B409" s="6" t="inlineStr">
        <is>
          <t>NESCAFE</t>
        </is>
      </c>
      <c r="C409" s="6" t="inlineStr">
        <is>
          <t>NESCAFE Prm White Coffee Unswt</t>
        </is>
      </c>
      <c r="D409" s="0" t="n">
        <v>56.5</v>
      </c>
      <c r="E409" s="7" t="inlineStr">
        <is>
          <t>Groceries</t>
        </is>
      </c>
      <c r="F409" s="7" t="inlineStr">
        <is>
          <t>Hot Drinks</t>
        </is>
      </c>
      <c r="G409" s="0" t="inlineStr">
        <is>
          <t>20X21G</t>
        </is>
      </c>
      <c r="H409" s="0" t="n"/>
      <c r="I409" s="7">
        <f>IF(H409="","",VALUE(LEFT(H409,FIND("/",H409)-1))/VALUE(MID(H409,FIND("/",H409)+1,99)))</f>
        <v/>
      </c>
      <c r="J409" s="0" t="inlineStr">
        <is>
          <t>Free 3 Cups pack marking; not a multi-buy promotion</t>
        </is>
      </c>
      <c r="K409" s="0" t="inlineStr">
        <is>
          <t>https://www.pns.hk/en/b/114183</t>
        </is>
      </c>
      <c r="L409" s="0" t="inlineStr">
        <is>
          <t>IMG_7064.HEIC</t>
        </is>
      </c>
    </row>
    <row r="410">
      <c r="A410" s="0" t="n">
        <v>405</v>
      </c>
      <c r="B410" s="6" t="inlineStr">
        <is>
          <t>NESCAFE</t>
        </is>
      </c>
      <c r="C410" s="6" t="inlineStr">
        <is>
          <t>NESCAFE Cafe Viet</t>
        </is>
      </c>
      <c r="D410" s="0" t="n">
        <v>42</v>
      </c>
      <c r="E410" s="7" t="inlineStr">
        <is>
          <t>Groceries</t>
        </is>
      </c>
      <c r="F410" s="7" t="inlineStr">
        <is>
          <t>Hot Drinks</t>
        </is>
      </c>
      <c r="G410" s="0" t="inlineStr">
        <is>
          <t>20GX10</t>
        </is>
      </c>
      <c r="H410" s="0" t="n"/>
      <c r="I410" s="7">
        <f>IF(H410="","",VALUE(LEFT(H410,FIND("/",H410)-1))/VALUE(MID(H410,FIND("/",H410)+1,99)))</f>
        <v/>
      </c>
      <c r="J410" s="0" t="n"/>
      <c r="K410" s="0" t="inlineStr">
        <is>
          <t>https://www.pns.hk/en/cafe-viet/p/BP_479007</t>
        </is>
      </c>
      <c r="L410" s="0" t="inlineStr">
        <is>
          <t>IMG_7064.HEIC</t>
        </is>
      </c>
    </row>
    <row r="411">
      <c r="A411" s="0" t="n">
        <v>406</v>
      </c>
      <c r="B411" s="6" t="inlineStr">
        <is>
          <t>OLD TOWN</t>
        </is>
      </c>
      <c r="C411" s="6" t="inlineStr">
        <is>
          <t>OLD TOWN 3 In 1 Hazelnut White Coffee</t>
        </is>
      </c>
      <c r="D411" s="0" t="n">
        <v>33</v>
      </c>
      <c r="E411" s="7" t="inlineStr">
        <is>
          <t>Groceries</t>
        </is>
      </c>
      <c r="F411" s="7" t="inlineStr">
        <is>
          <t>Hot Drinks</t>
        </is>
      </c>
      <c r="G411" s="0" t="inlineStr">
        <is>
          <t>10'S</t>
        </is>
      </c>
      <c r="H411" s="0" t="inlineStr">
        <is>
          <t>56/2</t>
        </is>
      </c>
      <c r="I411" s="7">
        <f>IF(H411="","",VALUE(LEFT(H411,FIND("/",H411)-1))/VALUE(MID(H411,FIND("/",H411)+1,99)))</f>
        <v/>
      </c>
      <c r="J411" s="0" t="n"/>
      <c r="K411" s="0" t="inlineStr">
        <is>
          <t>https://www.pns.hk/en/3-in-1-hazelnut-white-coffee/p/BP_175783</t>
        </is>
      </c>
      <c r="L411" s="0" t="inlineStr">
        <is>
          <t>IMG_7064.HEIC</t>
        </is>
      </c>
    </row>
    <row r="412">
      <c r="A412" s="0" t="n">
        <v>407</v>
      </c>
      <c r="B412" s="6" t="inlineStr">
        <is>
          <t>OLD TOWN</t>
        </is>
      </c>
      <c r="C412" s="6" t="inlineStr">
        <is>
          <t>OLD TOWN 3 In 1 Classic White Coffee</t>
        </is>
      </c>
      <c r="D412" s="0" t="n">
        <v>33</v>
      </c>
      <c r="E412" s="7" t="inlineStr">
        <is>
          <t>Groceries</t>
        </is>
      </c>
      <c r="F412" s="7" t="inlineStr">
        <is>
          <t>Hot Drinks</t>
        </is>
      </c>
      <c r="G412" s="0" t="inlineStr">
        <is>
          <t>10'S</t>
        </is>
      </c>
      <c r="H412" s="0" t="inlineStr">
        <is>
          <t>56/2</t>
        </is>
      </c>
      <c r="I412" s="7">
        <f>IF(H412="","",VALUE(LEFT(H412,FIND("/",H412)-1))/VALUE(MID(H412,FIND("/",H412)+1,99)))</f>
        <v/>
      </c>
      <c r="J412" s="0" t="n"/>
      <c r="K412" s="0" t="inlineStr">
        <is>
          <t>https://www.pns.hk/en/3-in-1-classic-white-coffee/p/BP_188028</t>
        </is>
      </c>
      <c r="L412" s="0" t="inlineStr">
        <is>
          <t>IMG_7064.HEIC</t>
        </is>
      </c>
    </row>
    <row r="413">
      <c r="A413" s="0" t="n">
        <v>408</v>
      </c>
      <c r="B413" s="6" t="inlineStr">
        <is>
          <t>OLD TOWN</t>
        </is>
      </c>
      <c r="C413" s="6" t="inlineStr">
        <is>
          <t>OLD TOWN 3 In 1 Classic White Coffee</t>
        </is>
      </c>
      <c r="D413" s="0" t="n">
        <v>39.9</v>
      </c>
      <c r="E413" s="7" t="inlineStr">
        <is>
          <t>Groceries</t>
        </is>
      </c>
      <c r="F413" s="7" t="inlineStr">
        <is>
          <t>Hot Drinks</t>
        </is>
      </c>
      <c r="G413" s="0" t="inlineStr">
        <is>
          <t>15'S</t>
        </is>
      </c>
      <c r="H413" s="0" t="n"/>
      <c r="I413" s="7">
        <f>IF(H413="","",VALUE(LEFT(H413,FIND("/",H413)-1))/VALUE(MID(H413,FIND("/",H413)+1,99)))</f>
        <v/>
      </c>
      <c r="J413" s="0" t="inlineStr">
        <is>
          <t>Front label reads coffee &amp; creamer; 15-stick catalogue variant</t>
        </is>
      </c>
      <c r="K413" s="0" t="inlineStr">
        <is>
          <t>https://www.pns.hk/en/old-town-white-coffee-15s-all-flavours/c/oldtownwc</t>
        </is>
      </c>
      <c r="L413" s="0" t="inlineStr">
        <is>
          <t>IMG_7064.HEIC</t>
        </is>
      </c>
    </row>
    <row r="414">
      <c r="A414" s="0" t="n">
        <v>409</v>
      </c>
      <c r="B414" s="6" t="inlineStr">
        <is>
          <t>WALCH</t>
        </is>
      </c>
      <c r="C414" s="6" t="inlineStr">
        <is>
          <t>WALCH Walch Hand Wash Gel Refreshing 450ml*3+hand San 20ml</t>
        </is>
      </c>
      <c r="D414" s="0" t="n">
        <v>64.90000000000001</v>
      </c>
      <c r="E414" s="7" t="inlineStr">
        <is>
          <t>Groceries</t>
        </is>
      </c>
      <c r="F414" s="7" t="inlineStr">
        <is>
          <t>Toiletries</t>
        </is>
      </c>
      <c r="G414" s="0" t="inlineStr">
        <is>
          <t>3X450ML</t>
        </is>
      </c>
      <c r="H414" s="0" t="n"/>
      <c r="I414" s="7">
        <f>IF(H414="","",VALUE(LEFT(H414,FIND("/",H414)-1))/VALUE(MID(H414,FIND("/",H414)+1,99)))</f>
        <v/>
      </c>
      <c r="J414" s="0" t="inlineStr">
        <is>
          <t>Discounted; OP = 75.0; hand-sanitizer bonus included</t>
        </is>
      </c>
      <c r="K414" s="0" t="inlineStr">
        <is>
          <t>https://www.pns.hk/en/search?text=Walch+hand+wash</t>
        </is>
      </c>
      <c r="L414" s="0" t="inlineStr">
        <is>
          <t>IMG_7065.HEIC</t>
        </is>
      </c>
    </row>
    <row r="415">
      <c r="A415" s="0" t="n">
        <v>410</v>
      </c>
      <c r="B415" s="6" t="inlineStr">
        <is>
          <t>KIREI KIREI</t>
        </is>
      </c>
      <c r="C415" s="6" t="inlineStr">
        <is>
          <t>KIREI KIREI Anti-bac Foaming Hand Wash (variant unclear)</t>
        </is>
      </c>
      <c r="D415" s="0" t="n">
        <v>35</v>
      </c>
      <c r="E415" s="7" t="inlineStr">
        <is>
          <t>Groceries</t>
        </is>
      </c>
      <c r="F415" s="7" t="inlineStr">
        <is>
          <t>Toiletries</t>
        </is>
      </c>
      <c r="G415" s="0" t="inlineStr">
        <is>
          <t>490ML</t>
        </is>
      </c>
      <c r="H415" s="0" t="n"/>
      <c r="I415" s="7">
        <f>IF(H415="","",VALUE(LEFT(H415,FIND("/",H415)-1))/VALUE(MID(H415,FIND("/",H415)+1,99)))</f>
        <v/>
      </c>
      <c r="J415" s="0" t="inlineStr">
        <is>
          <t>Variant text is blurred; yellow pump bottle identified as Kirei Kirei</t>
        </is>
      </c>
      <c r="K415" s="0" t="inlineStr">
        <is>
          <t>https://www.pns.hk/en/all-brands/b/111799/kirei-kirei</t>
        </is>
      </c>
      <c r="L415" s="0" t="inlineStr">
        <is>
          <t>IMG_7065.HEIC</t>
        </is>
      </c>
    </row>
    <row r="416">
      <c r="A416" s="0" t="n">
        <v>411</v>
      </c>
      <c r="B416" s="6" t="inlineStr">
        <is>
          <t>WATSONS</t>
        </is>
      </c>
      <c r="C416" s="6" t="inlineStr">
        <is>
          <t>WATSONS Green Tea + Apple Handwash</t>
        </is>
      </c>
      <c r="D416" s="0" t="n">
        <v>14</v>
      </c>
      <c r="E416" s="7" t="inlineStr">
        <is>
          <t>Groceries</t>
        </is>
      </c>
      <c r="F416" s="7" t="inlineStr">
        <is>
          <t>Toiletries</t>
        </is>
      </c>
      <c r="G416" s="0" t="inlineStr">
        <is>
          <t>500ML</t>
        </is>
      </c>
      <c r="H416" s="0" t="n"/>
      <c r="I416" s="7">
        <f>IF(H416="","",VALUE(LEFT(H416,FIND("/",H416)-1))/VALUE(MID(H416,FIND("/",H416)+1,99)))</f>
        <v/>
      </c>
      <c r="J416" s="0" t="n"/>
      <c r="K416" s="0" t="inlineStr">
        <is>
          <t>https://www.pns.hk/en/personal-care-health/hand-wash/c/07050100</t>
        </is>
      </c>
      <c r="L416" s="0" t="inlineStr">
        <is>
          <t>IMG_7065.HEIC</t>
        </is>
      </c>
    </row>
    <row r="417">
      <c r="A417" s="0" t="n">
        <v>412</v>
      </c>
      <c r="B417" s="6" t="inlineStr">
        <is>
          <t>BIORE</t>
        </is>
      </c>
      <c r="C417" s="6" t="inlineStr">
        <is>
          <t>Bioré Zero Deodorant Roll On (Unscented)</t>
        </is>
      </c>
      <c r="D417" s="0" t="n">
        <v>49.9</v>
      </c>
      <c r="E417" s="7" t="inlineStr">
        <is>
          <t>Groceries</t>
        </is>
      </c>
      <c r="F417" s="7" t="inlineStr">
        <is>
          <t>Toiletries</t>
        </is>
      </c>
      <c r="G417" s="0" t="inlineStr">
        <is>
          <t>40ML</t>
        </is>
      </c>
      <c r="H417" s="0" t="n"/>
      <c r="I417" s="7">
        <f>IF(H417="","",VALUE(LEFT(H417,FIND("/",H417)-1))/VALUE(MID(H417,FIND("/",H417)+1,99)))</f>
        <v/>
      </c>
      <c r="J417" s="0" t="inlineStr">
        <is>
          <t>Product identity confirmed from the same package presentation in IMG_7066</t>
        </is>
      </c>
      <c r="K417" s="0" t="inlineStr">
        <is>
          <t>https://www.kao.com/hk/products/biore/bio_dz_rollon_00/</t>
        </is>
      </c>
      <c r="L417" s="0" t="inlineStr">
        <is>
          <t>IMG_7065.HEIC</t>
        </is>
      </c>
    </row>
    <row r="418">
      <c r="A418" s="0" t="n">
        <v>413</v>
      </c>
      <c r="B418" s="6" t="inlineStr">
        <is>
          <t>REXONA</t>
        </is>
      </c>
      <c r="C418" s="6" t="inlineStr">
        <is>
          <t>REXONA deodorant aerosol (72-hour variant unclear)</t>
        </is>
      </c>
      <c r="D418" s="0" t="n">
        <v>49.9</v>
      </c>
      <c r="E418" s="7" t="inlineStr">
        <is>
          <t>Groceries</t>
        </is>
      </c>
      <c r="F418" s="7" t="inlineStr">
        <is>
          <t>Toiletries</t>
        </is>
      </c>
      <c r="G418" s="0" t="inlineStr">
        <is>
          <t>Unknown</t>
        </is>
      </c>
      <c r="H418" s="0" t="n"/>
      <c r="I418" s="7">
        <f>IF(H418="","",VALUE(LEFT(H418,FIND("/",H418)-1))/VALUE(MID(H418,FIND("/",H418)+1,99)))</f>
        <v/>
      </c>
      <c r="J418" s="0" t="inlineStr">
        <is>
          <t>Rexona and 72-hour marking visible; exact variant and volume unclear</t>
        </is>
      </c>
      <c r="K418" s="0" t="inlineStr">
        <is>
          <t>https://www.pns.hk/en/personal-care-health/deodorant-body-spray-powder/c/07020400</t>
        </is>
      </c>
      <c r="L418" s="0" t="inlineStr">
        <is>
          <t>IMG_7065.HEIC</t>
        </is>
      </c>
    </row>
    <row r="419">
      <c r="A419" s="0" t="n">
        <v>414</v>
      </c>
      <c r="B419" s="6" t="inlineStr">
        <is>
          <t>NIVEA</t>
        </is>
      </c>
      <c r="C419" s="6" t="inlineStr">
        <is>
          <t>NIVEA Invisible Black &amp; White Power Spray</t>
        </is>
      </c>
      <c r="D419" s="0" t="n">
        <v>40</v>
      </c>
      <c r="E419" s="7" t="inlineStr">
        <is>
          <t>Groceries</t>
        </is>
      </c>
      <c r="F419" s="7" t="inlineStr">
        <is>
          <t>Toiletries</t>
        </is>
      </c>
      <c r="G419" s="0" t="inlineStr">
        <is>
          <t>150ML</t>
        </is>
      </c>
      <c r="H419" s="0" t="n"/>
      <c r="I419" s="7">
        <f>IF(H419="","",VALUE(LEFT(H419,FIND("/",H419)-1))/VALUE(MID(H419,FIND("/",H419)+1,99)))</f>
        <v/>
      </c>
      <c r="J419" s="0" t="inlineStr">
        <is>
          <t>NIVEA MEN Black &amp; White pack</t>
        </is>
      </c>
      <c r="K419" s="0" t="inlineStr">
        <is>
          <t>https://www.pns.hk/en/-deodorant/c/deodorant</t>
        </is>
      </c>
      <c r="L419" s="0" t="inlineStr">
        <is>
          <t>IMG_7065.HEIC</t>
        </is>
      </c>
    </row>
    <row r="420">
      <c r="A420" s="0" t="n">
        <v>415</v>
      </c>
      <c r="B420" s="6" t="inlineStr">
        <is>
          <t>NIVEA</t>
        </is>
      </c>
      <c r="C420" s="6" t="inlineStr">
        <is>
          <t>NIVEA Extra Whitening Spray</t>
        </is>
      </c>
      <c r="D420" s="0" t="n">
        <v>25.1</v>
      </c>
      <c r="E420" s="7" t="inlineStr">
        <is>
          <t>Groceries</t>
        </is>
      </c>
      <c r="F420" s="7" t="inlineStr">
        <is>
          <t>Toiletries</t>
        </is>
      </c>
      <c r="G420" s="0" t="inlineStr">
        <is>
          <t>150ML</t>
        </is>
      </c>
      <c r="H420" s="0" t="n"/>
      <c r="I420" s="7">
        <f>IF(H420="","",VALUE(LEFT(H420,FIND("/",H420)-1))/VALUE(MID(H420,FIND("/",H420)+1,99)))</f>
        <v/>
      </c>
      <c r="J420" s="0" t="inlineStr">
        <is>
          <t>Discounted from HK$34.0</t>
        </is>
      </c>
      <c r="K420" s="0" t="inlineStr">
        <is>
          <t>https://www.pns.hk/en/-deodorant/c/deodorant</t>
        </is>
      </c>
      <c r="L420" s="0" t="inlineStr">
        <is>
          <t>IMG_7065.HEIC</t>
        </is>
      </c>
    </row>
    <row r="421">
      <c r="A421" s="0" t="n">
        <v>416</v>
      </c>
      <c r="B421" s="6" t="inlineStr">
        <is>
          <t>NIVEA</t>
        </is>
      </c>
      <c r="C421" s="6" t="inlineStr">
        <is>
          <t>NIVEA Invisible Black &amp; White Clear Spray</t>
        </is>
      </c>
      <c r="D421" s="0" t="n">
        <v>40</v>
      </c>
      <c r="E421" s="7" t="inlineStr">
        <is>
          <t>Groceries</t>
        </is>
      </c>
      <c r="F421" s="7" t="inlineStr">
        <is>
          <t>Toiletries</t>
        </is>
      </c>
      <c r="G421" s="0" t="inlineStr">
        <is>
          <t>150ML</t>
        </is>
      </c>
      <c r="H421" s="0" t="n"/>
      <c r="I421" s="7">
        <f>IF(H421="","",VALUE(LEFT(H421,FIND("/",H421)-1))/VALUE(MID(H421,FIND("/",H421)+1,99)))</f>
        <v/>
      </c>
      <c r="J421" s="0" t="n"/>
      <c r="K421" s="0" t="inlineStr">
        <is>
          <t>https://www.pns.hk/en/-deodorant/c/deodorant</t>
        </is>
      </c>
      <c r="L421" s="0" t="inlineStr">
        <is>
          <t>IMG_7065.HEIC</t>
        </is>
      </c>
    </row>
    <row r="422">
      <c r="A422" s="0" t="n">
        <v>417</v>
      </c>
      <c r="B422" s="6" t="inlineStr">
        <is>
          <t>Unknown</t>
        </is>
      </c>
      <c r="C422" s="6" t="inlineStr">
        <is>
          <t>Unknown men's deodorant aerosol (black pack)</t>
        </is>
      </c>
      <c r="D422" s="0" t="n">
        <v>29.9</v>
      </c>
      <c r="E422" s="7" t="inlineStr">
        <is>
          <t>Groceries</t>
        </is>
      </c>
      <c r="F422" s="7" t="inlineStr">
        <is>
          <t>Toiletries</t>
        </is>
      </c>
      <c r="G422" s="0" t="inlineStr">
        <is>
          <t>Unknown</t>
        </is>
      </c>
      <c r="H422" s="0" t="n"/>
      <c r="I422" s="7">
        <f>IF(H422="","",VALUE(LEFT(H422,FIND("/",H422)-1))/VALUE(MID(H422,FIND("/",H422)+1,99)))</f>
        <v/>
      </c>
      <c r="J422" s="0" t="inlineStr">
        <is>
          <t>Brand/variant text is not readable</t>
        </is>
      </c>
      <c r="K422" s="0" t="str"/>
      <c r="L422" s="0" t="inlineStr">
        <is>
          <t>IMG_7065.HEIC</t>
        </is>
      </c>
    </row>
    <row r="423">
      <c r="A423" s="0" t="n">
        <v>418</v>
      </c>
      <c r="B423" s="6" t="inlineStr">
        <is>
          <t>Unknown</t>
        </is>
      </c>
      <c r="C423" s="6" t="inlineStr">
        <is>
          <t>Unknown blue/white deodorant (right-edge partial)</t>
        </is>
      </c>
      <c r="D423" s="0" t="n"/>
      <c r="E423" s="7" t="inlineStr">
        <is>
          <t>Groceries</t>
        </is>
      </c>
      <c r="F423" s="7" t="inlineStr">
        <is>
          <t>Toiletries</t>
        </is>
      </c>
      <c r="G423" s="0" t="inlineStr">
        <is>
          <t>Unknown</t>
        </is>
      </c>
      <c r="H423" s="0" t="n"/>
      <c r="I423" s="7">
        <f>IF(H423="","",VALUE(LEFT(H423,FIND("/",H423)-1))/VALUE(MID(H423,FIND("/",H423)+1,99)))</f>
        <v/>
      </c>
      <c r="J423" s="0" t="inlineStr">
        <is>
          <t>Only a partial facing is visible</t>
        </is>
      </c>
      <c r="K423" s="0" t="str"/>
      <c r="L423" s="0" t="inlineStr">
        <is>
          <t>IMG_7065.HEIC</t>
        </is>
      </c>
    </row>
    <row r="424">
      <c r="A424" s="0" t="n">
        <v>419</v>
      </c>
      <c r="B424" s="6" t="inlineStr">
        <is>
          <t>Unknown</t>
        </is>
      </c>
      <c r="C424" s="6" t="inlineStr">
        <is>
          <t>Unknown personal-care product (left-edge partial)</t>
        </is>
      </c>
      <c r="D424" s="0" t="n"/>
      <c r="E424" s="7" t="inlineStr">
        <is>
          <t>Groceries</t>
        </is>
      </c>
      <c r="F424" s="7" t="inlineStr">
        <is>
          <t>Toiletries</t>
        </is>
      </c>
      <c r="G424" s="0" t="inlineStr">
        <is>
          <t>Unknown</t>
        </is>
      </c>
      <c r="H424" s="0" t="n"/>
      <c r="I424" s="7">
        <f>IF(H424="","",VALUE(LEFT(H424,FIND("/",H424)-1))/VALUE(MID(H424,FIND("/",H424)+1,99)))</f>
        <v/>
      </c>
      <c r="J424" s="0" t="inlineStr">
        <is>
          <t>Product is partly outside the photographed shelf</t>
        </is>
      </c>
      <c r="K424" s="0" t="str"/>
      <c r="L424" s="0" t="inlineStr">
        <is>
          <t>IMG_7065.HEIC</t>
        </is>
      </c>
    </row>
    <row r="425">
      <c r="A425" s="0" t="n">
        <v>420</v>
      </c>
      <c r="B425" s="6" t="inlineStr">
        <is>
          <t>DETTOL</t>
        </is>
      </c>
      <c r="C425" s="6" t="inlineStr">
        <is>
          <t>DETTOL Dettol Hand Wash Skincare</t>
        </is>
      </c>
      <c r="D425" s="0" t="n">
        <v>37</v>
      </c>
      <c r="E425" s="7" t="inlineStr">
        <is>
          <t>Groceries</t>
        </is>
      </c>
      <c r="F425" s="7" t="inlineStr">
        <is>
          <t>Toiletries</t>
        </is>
      </c>
      <c r="G425" s="0" t="inlineStr">
        <is>
          <t>500G</t>
        </is>
      </c>
      <c r="H425" s="0" t="n"/>
      <c r="I425" s="7">
        <f>IF(H425="","",VALUE(LEFT(H425,FIND("/",H425)-1))/VALUE(MID(H425,FIND("/",H425)+1,99)))</f>
        <v/>
      </c>
      <c r="J425" s="0" t="n"/>
      <c r="K425" s="0" t="inlineStr">
        <is>
          <t>https://www.pns.hk/en/dettol-flagship-store-hand-wash/c/dettolhandwash</t>
        </is>
      </c>
      <c r="L425" s="0" t="inlineStr">
        <is>
          <t>IMG_7065.HEIC</t>
        </is>
      </c>
    </row>
    <row r="426">
      <c r="A426" s="0" t="n">
        <v>421</v>
      </c>
      <c r="B426" s="6" t="inlineStr">
        <is>
          <t>DETTOL</t>
        </is>
      </c>
      <c r="C426" s="6" t="inlineStr">
        <is>
          <t>DETTOL Dettol Hand Wash Sensitive</t>
        </is>
      </c>
      <c r="D426" s="0" t="n">
        <v>37</v>
      </c>
      <c r="E426" s="7" t="inlineStr">
        <is>
          <t>Groceries</t>
        </is>
      </c>
      <c r="F426" s="7" t="inlineStr">
        <is>
          <t>Toiletries</t>
        </is>
      </c>
      <c r="G426" s="0" t="inlineStr">
        <is>
          <t>500G</t>
        </is>
      </c>
      <c r="H426" s="0" t="n"/>
      <c r="I426" s="7">
        <f>IF(H426="","",VALUE(LEFT(H426,FIND("/",H426)-1))/VALUE(MID(H426,FIND("/",H426)+1,99)))</f>
        <v/>
      </c>
      <c r="J426" s="0" t="n"/>
      <c r="K426" s="0" t="inlineStr">
        <is>
          <t>https://www.pns.hk/en/hand-wash-sensitive-500g/p/BP_245720</t>
        </is>
      </c>
      <c r="L426" s="0" t="inlineStr">
        <is>
          <t>IMG_7065.HEIC</t>
        </is>
      </c>
    </row>
    <row r="427">
      <c r="A427" s="0" t="n">
        <v>422</v>
      </c>
      <c r="B427" s="6" t="inlineStr">
        <is>
          <t>LUX</t>
        </is>
      </c>
      <c r="C427" s="6" t="inlineStr">
        <is>
          <t>LUX Botanicals hand wash (variant unclear)</t>
        </is>
      </c>
      <c r="D427" s="0" t="n">
        <v>20</v>
      </c>
      <c r="E427" s="7" t="inlineStr">
        <is>
          <t>Groceries</t>
        </is>
      </c>
      <c r="F427" s="7" t="inlineStr">
        <is>
          <t>Toiletries</t>
        </is>
      </c>
      <c r="G427" s="0" t="inlineStr">
        <is>
          <t>Unknown</t>
        </is>
      </c>
      <c r="H427" s="0" t="n"/>
      <c r="I427" s="7">
        <f>IF(H427="","",VALUE(LEFT(H427,FIND("/",H427)-1))/VALUE(MID(H427,FIND("/",H427)+1,99)))</f>
        <v/>
      </c>
      <c r="J427" s="0" t="inlineStr">
        <is>
          <t>LUX Botanicals label visible; bottle size and exact product type are unclear</t>
        </is>
      </c>
      <c r="K427" s="0" t="inlineStr">
        <is>
          <t>https://www.pns.hk/en/all-brands/b/112751/lux</t>
        </is>
      </c>
      <c r="L427" s="0" t="inlineStr">
        <is>
          <t>IMG_7065.HEIC</t>
        </is>
      </c>
    </row>
    <row r="428">
      <c r="A428" s="0" t="n">
        <v>423</v>
      </c>
      <c r="B428" s="6" t="inlineStr">
        <is>
          <t>WATSONS</t>
        </is>
      </c>
      <c r="C428" s="6" t="inlineStr">
        <is>
          <t>WATSONS Paw Paw Foam Hand Wash</t>
        </is>
      </c>
      <c r="D428" s="0" t="n">
        <v>19.9</v>
      </c>
      <c r="E428" s="7" t="inlineStr">
        <is>
          <t>Groceries</t>
        </is>
      </c>
      <c r="F428" s="7" t="inlineStr">
        <is>
          <t>Toiletries</t>
        </is>
      </c>
      <c r="G428" s="0" t="inlineStr">
        <is>
          <t>300ML</t>
        </is>
      </c>
      <c r="H428" s="0" t="n"/>
      <c r="I428" s="7">
        <f>IF(H428="","",VALUE(LEFT(H428,FIND("/",H428)-1))/VALUE(MID(H428,FIND("/",H428)+1,99)))</f>
        <v/>
      </c>
      <c r="J428" s="0" t="inlineStr">
        <is>
          <t>Shelf tag is partly obscured</t>
        </is>
      </c>
      <c r="K428" s="0" t="inlineStr">
        <is>
          <t>https://www.pns.hk/en/paw-paw-foam-hand-wash-300ml/p/BP_821996</t>
        </is>
      </c>
      <c r="L428" s="0" t="inlineStr">
        <is>
          <t>IMG_7065.HEIC</t>
        </is>
      </c>
    </row>
    <row r="429">
      <c r="A429" s="0" t="n">
        <v>424</v>
      </c>
      <c r="B429" s="6" t="inlineStr">
        <is>
          <t>DETTOL</t>
        </is>
      </c>
      <c r="C429" s="6" t="inlineStr">
        <is>
          <t>DETTOL Dettol Foam Anti-bacterial Hand Wash Aloe Vera</t>
        </is>
      </c>
      <c r="D429" s="0" t="n">
        <v>33</v>
      </c>
      <c r="E429" s="7" t="inlineStr">
        <is>
          <t>Groceries</t>
        </is>
      </c>
      <c r="F429" s="7" t="inlineStr">
        <is>
          <t>Toiletries</t>
        </is>
      </c>
      <c r="G429" s="0" t="inlineStr">
        <is>
          <t>250ML</t>
        </is>
      </c>
      <c r="H429" s="0" t="n"/>
      <c r="I429" s="7">
        <f>IF(H429="","",VALUE(LEFT(H429,FIND("/",H429)-1))/VALUE(MID(H429,FIND("/",H429)+1,99)))</f>
        <v/>
      </c>
      <c r="J429" s="0" t="n"/>
      <c r="K429" s="0" t="inlineStr">
        <is>
          <t>https://www.pns.hk/en/dettol-flagship-store-hand-wash/c/dettolhandwash</t>
        </is>
      </c>
      <c r="L429" s="0" t="inlineStr">
        <is>
          <t>IMG_7065.HEIC</t>
        </is>
      </c>
    </row>
    <row r="430">
      <c r="A430" s="0" t="n">
        <v>425</v>
      </c>
      <c r="B430" s="6" t="inlineStr">
        <is>
          <t>WATSONS</t>
        </is>
      </c>
      <c r="C430" s="6" t="inlineStr">
        <is>
          <t>WATSONS Anti-Bacterial Hand Wash (variant unclear)</t>
        </is>
      </c>
      <c r="D430" s="0" t="n"/>
      <c r="E430" s="7" t="inlineStr">
        <is>
          <t>Groceries</t>
        </is>
      </c>
      <c r="F430" s="7" t="inlineStr">
        <is>
          <t>Toiletries</t>
        </is>
      </c>
      <c r="G430" s="0" t="inlineStr">
        <is>
          <t>500ML</t>
        </is>
      </c>
      <c r="H430" s="0" t="n"/>
      <c r="I430" s="7">
        <f>IF(H430="","",VALUE(LEFT(H430,FIND("/",H430)-1))/VALUE(MID(H430,FIND("/",H430)+1,99)))</f>
        <v/>
      </c>
      <c r="J430" s="0" t="inlineStr">
        <is>
          <t>White pump bottle says anti-bacterial/99.9%; price is obscured</t>
        </is>
      </c>
      <c r="K430" s="0" t="inlineStr">
        <is>
          <t>https://www.pns.hk/en/personal-care-health/hand-wash/c/07050100</t>
        </is>
      </c>
      <c r="L430" s="0" t="inlineStr">
        <is>
          <t>IMG_7065.HEIC</t>
        </is>
      </c>
    </row>
    <row r="431">
      <c r="A431" s="0" t="n">
        <v>426</v>
      </c>
      <c r="B431" s="6" t="inlineStr">
        <is>
          <t>WALCH</t>
        </is>
      </c>
      <c r="C431" s="6" t="inlineStr">
        <is>
          <t>WALCH Walch Antibacterial Foaming Hand Wash Refreshing</t>
        </is>
      </c>
      <c r="D431" s="0" t="n">
        <v>43</v>
      </c>
      <c r="E431" s="7" t="inlineStr">
        <is>
          <t>Groceries</t>
        </is>
      </c>
      <c r="F431" s="7" t="inlineStr">
        <is>
          <t>Toiletries</t>
        </is>
      </c>
      <c r="G431" s="0" t="inlineStr">
        <is>
          <t>290ML</t>
        </is>
      </c>
      <c r="H431" s="0" t="n"/>
      <c r="I431" s="7">
        <f>IF(H431="","",VALUE(LEFT(H431,FIND("/",H431)-1))/VALUE(MID(H431,FIND("/",H431)+1,99)))</f>
        <v/>
      </c>
      <c r="J431" s="0" t="n"/>
      <c r="K431" s="0" t="inlineStr">
        <is>
          <t>https://www.pns.hk/en/search?text=Walch+hand+wash</t>
        </is>
      </c>
      <c r="L431" s="0" t="inlineStr">
        <is>
          <t>IMG_7065.HEIC</t>
        </is>
      </c>
    </row>
    <row r="432">
      <c r="A432" s="0" t="n">
        <v>427</v>
      </c>
      <c r="B432" s="6" t="inlineStr">
        <is>
          <t>Unknown</t>
        </is>
      </c>
      <c r="C432" s="6" t="inlineStr">
        <is>
          <t>Unknown lavender hand-wash product</t>
        </is>
      </c>
      <c r="D432" s="0" t="n"/>
      <c r="E432" s="7" t="inlineStr">
        <is>
          <t>Groceries</t>
        </is>
      </c>
      <c r="F432" s="7" t="inlineStr">
        <is>
          <t>Toiletries</t>
        </is>
      </c>
      <c r="G432" s="0" t="inlineStr">
        <is>
          <t>Unknown</t>
        </is>
      </c>
      <c r="H432" s="0" t="n"/>
      <c r="I432" s="7">
        <f>IF(H432="","",VALUE(LEFT(H432,FIND("/",H432)-1))/VALUE(MID(H432,FIND("/",H432)+1,99)))</f>
        <v/>
      </c>
      <c r="J432" s="0" t="inlineStr">
        <is>
          <t>Lavender-themed pump bottle; brand, size and price are unclear</t>
        </is>
      </c>
      <c r="K432" s="0" t="str"/>
      <c r="L432" s="0" t="inlineStr">
        <is>
          <t>IMG_7065.HEIC</t>
        </is>
      </c>
    </row>
    <row r="433">
      <c r="A433" s="0" t="n">
        <v>428</v>
      </c>
      <c r="B433" s="6" t="inlineStr">
        <is>
          <t>DETTOL</t>
        </is>
      </c>
      <c r="C433" s="6" t="inlineStr">
        <is>
          <t>DETTOL Hand Soap 500g X 3 Tripack (pine)</t>
        </is>
      </c>
      <c r="D433" s="0" t="n">
        <v>80</v>
      </c>
      <c r="E433" s="7" t="inlineStr">
        <is>
          <t>Groceries</t>
        </is>
      </c>
      <c r="F433" s="7" t="inlineStr">
        <is>
          <t>Toiletries</t>
        </is>
      </c>
      <c r="G433" s="0" t="inlineStr">
        <is>
          <t>500GX3</t>
        </is>
      </c>
      <c r="H433" s="0" t="n"/>
      <c r="I433" s="7">
        <f>IF(H433="","",VALUE(LEFT(H433,FIND("/",H433)-1))/VALUE(MID(H433,FIND("/",H433)+1,99)))</f>
        <v/>
      </c>
      <c r="J433" s="0" t="inlineStr">
        <is>
          <t>Tripack presentation</t>
        </is>
      </c>
      <c r="K433" s="0" t="inlineStr">
        <is>
          <t>https://www.pns.hk/en/dettol-flagship-store-hand-wash/c/dettolhandwash</t>
        </is>
      </c>
      <c r="L433" s="0" t="inlineStr">
        <is>
          <t>IMG_7065.HEIC</t>
        </is>
      </c>
    </row>
    <row r="434">
      <c r="A434" s="0" t="n">
        <v>429</v>
      </c>
      <c r="B434" s="6" t="inlineStr">
        <is>
          <t>DETTOL</t>
        </is>
      </c>
      <c r="C434" s="6" t="inlineStr">
        <is>
          <t>DETTOL Dettol Antibacterial Skincare Hand Wash 500g Tripack</t>
        </is>
      </c>
      <c r="D434" s="0" t="n">
        <v>80</v>
      </c>
      <c r="E434" s="7" t="inlineStr">
        <is>
          <t>Groceries</t>
        </is>
      </c>
      <c r="F434" s="7" t="inlineStr">
        <is>
          <t>Toiletries</t>
        </is>
      </c>
      <c r="G434" s="0" t="inlineStr">
        <is>
          <t>500GX3</t>
        </is>
      </c>
      <c r="H434" s="0" t="n"/>
      <c r="I434" s="7">
        <f>IF(H434="","",VALUE(LEFT(H434,FIND("/",H434)-1))/VALUE(MID(H434,FIND("/",H434)+1,99)))</f>
        <v/>
      </c>
      <c r="J434" s="0" t="inlineStr">
        <is>
          <t>Tripack presentation</t>
        </is>
      </c>
      <c r="K434" s="0" t="inlineStr">
        <is>
          <t>https://www.pns.hk/en/dettol-antibacterial-skincare-hand-wash-500g-tripack/p/BP_246258</t>
        </is>
      </c>
      <c r="L434" s="0" t="inlineStr">
        <is>
          <t>IMG_7065.HEIC</t>
        </is>
      </c>
    </row>
    <row r="435">
      <c r="A435" s="0" t="n">
        <v>430</v>
      </c>
      <c r="B435" s="6" t="inlineStr">
        <is>
          <t>DOVE</t>
        </is>
      </c>
      <c r="C435" s="6" t="inlineStr">
        <is>
          <t>DOVE Body Wash - Beauty Nourishing</t>
        </is>
      </c>
      <c r="D435" s="0" t="n">
        <v>47.9</v>
      </c>
      <c r="E435" s="7" t="inlineStr">
        <is>
          <t>Groceries</t>
        </is>
      </c>
      <c r="F435" s="7" t="inlineStr">
        <is>
          <t>Toiletries</t>
        </is>
      </c>
      <c r="G435" s="0" t="inlineStr">
        <is>
          <t>1000G</t>
        </is>
      </c>
      <c r="H435" s="0" t="n"/>
      <c r="I435" s="7">
        <f>IF(H435="","",VALUE(LEFT(H435,FIND("/",H435)-1))/VALUE(MID(H435,FIND("/",H435)+1,99)))</f>
        <v/>
      </c>
      <c r="J435" s="0" t="n"/>
      <c r="K435" s="0" t="inlineStr">
        <is>
          <t>https://www.pns.hk/en/body-wash-beauty-nourishing/p/BP_449916</t>
        </is>
      </c>
      <c r="L435" s="0" t="inlineStr">
        <is>
          <t>IMG_7065.HEIC</t>
        </is>
      </c>
    </row>
    <row r="436">
      <c r="A436" s="0" t="n">
        <v>431</v>
      </c>
      <c r="B436" s="6" t="inlineStr">
        <is>
          <t>Unknown</t>
        </is>
      </c>
      <c r="C436" s="6" t="inlineStr">
        <is>
          <t>Unknown Dove body wash (grey/black variant)</t>
        </is>
      </c>
      <c r="D436" s="0" t="n">
        <v>47.9</v>
      </c>
      <c r="E436" s="7" t="inlineStr">
        <is>
          <t>Groceries</t>
        </is>
      </c>
      <c r="F436" s="7" t="inlineStr">
        <is>
          <t>Toiletries</t>
        </is>
      </c>
      <c r="G436" s="0" t="inlineStr">
        <is>
          <t>1000G</t>
        </is>
      </c>
      <c r="H436" s="0" t="n"/>
      <c r="I436" s="7">
        <f>IF(H436="","",VALUE(LEFT(H436,FIND("/",H436)-1))/VALUE(MID(H436,FIND("/",H436)+1,99)))</f>
        <v/>
      </c>
      <c r="J436" s="0" t="inlineStr">
        <is>
          <t>Dove bottle is visible but the variant label is obscured</t>
        </is>
      </c>
      <c r="K436" s="0" t="inlineStr">
        <is>
          <t>https://www.pns.hk/en/all-brands/b/104543</t>
        </is>
      </c>
      <c r="L436" s="0" t="inlineStr">
        <is>
          <t>IMG_7065.HEIC</t>
        </is>
      </c>
    </row>
    <row r="437">
      <c r="A437" s="0" t="n">
        <v>432</v>
      </c>
      <c r="B437" s="6" t="inlineStr">
        <is>
          <t>DOVE</t>
        </is>
      </c>
      <c r="C437" s="6" t="inlineStr">
        <is>
          <t>DOVE Dove Body Wash 1000g - Grapefruit &amp; Lime</t>
        </is>
      </c>
      <c r="D437" s="0" t="n">
        <v>47.9</v>
      </c>
      <c r="E437" s="7" t="inlineStr">
        <is>
          <t>Groceries</t>
        </is>
      </c>
      <c r="F437" s="7" t="inlineStr">
        <is>
          <t>Toiletries</t>
        </is>
      </c>
      <c r="G437" s="0" t="inlineStr">
        <is>
          <t>1000G</t>
        </is>
      </c>
      <c r="H437" s="0" t="n"/>
      <c r="I437" s="7">
        <f>IF(H437="","",VALUE(LEFT(H437,FIND("/",H437)-1))/VALUE(MID(H437,FIND("/",H437)+1,99)))</f>
        <v/>
      </c>
      <c r="J437" s="0" t="n"/>
      <c r="K437" s="0" t="inlineStr">
        <is>
          <t>https://www.pns.hk/en/dove-body-wash-1000g-grapefruit-lime/p/BP_140109</t>
        </is>
      </c>
      <c r="L437" s="0" t="inlineStr">
        <is>
          <t>IMG_7065.HEIC</t>
        </is>
      </c>
    </row>
    <row r="438">
      <c r="A438" s="0" t="n">
        <v>433</v>
      </c>
      <c r="B438" s="6" t="inlineStr">
        <is>
          <t>DOVE</t>
        </is>
      </c>
      <c r="C438" s="6" t="inlineStr">
        <is>
          <t>DOVE Dove Body Wash 1000g - Yuzu &amp; Glacier</t>
        </is>
      </c>
      <c r="D438" s="0" t="n">
        <v>47.9</v>
      </c>
      <c r="E438" s="7" t="inlineStr">
        <is>
          <t>Groceries</t>
        </is>
      </c>
      <c r="F438" s="7" t="inlineStr">
        <is>
          <t>Toiletries</t>
        </is>
      </c>
      <c r="G438" s="0" t="inlineStr">
        <is>
          <t>1000G</t>
        </is>
      </c>
      <c r="H438" s="0" t="n"/>
      <c r="I438" s="7">
        <f>IF(H438="","",VALUE(LEFT(H438,FIND("/",H438)-1))/VALUE(MID(H438,FIND("/",H438)+1,99)))</f>
        <v/>
      </c>
      <c r="J438" s="0" t="inlineStr">
        <is>
          <t>Citrus/yellow pack; catalogue match</t>
        </is>
      </c>
      <c r="K438" s="0" t="inlineStr">
        <is>
          <t>https://www.pns.hk/en/dove-go-fresh-yuzu-body-wash-1000g/p/BP_810423</t>
        </is>
      </c>
      <c r="L438" s="0" t="inlineStr">
        <is>
          <t>IMG_7065.HEIC</t>
        </is>
      </c>
    </row>
    <row r="439">
      <c r="A439" s="0" t="n">
        <v>434</v>
      </c>
      <c r="B439" s="6" t="inlineStr">
        <is>
          <t>DOVE</t>
        </is>
      </c>
      <c r="C439" s="6" t="inlineStr">
        <is>
          <t>DOVE Body Wash - Acai Berry</t>
        </is>
      </c>
      <c r="D439" s="0" t="n">
        <v>47.9</v>
      </c>
      <c r="E439" s="7" t="inlineStr">
        <is>
          <t>Groceries</t>
        </is>
      </c>
      <c r="F439" s="7" t="inlineStr">
        <is>
          <t>Toiletries</t>
        </is>
      </c>
      <c r="G439" s="0" t="inlineStr">
        <is>
          <t>1000ML</t>
        </is>
      </c>
      <c r="H439" s="0" t="n"/>
      <c r="I439" s="7">
        <f>IF(H439="","",VALUE(LEFT(H439,FIND("/",H439)-1))/VALUE(MID(H439,FIND("/",H439)+1,99)))</f>
        <v/>
      </c>
      <c r="J439" s="0" t="inlineStr">
        <is>
          <t>Berry/purple pack; catalogue match</t>
        </is>
      </c>
      <c r="K439" s="0" t="inlineStr">
        <is>
          <t>https://www.pns.hk/en/search?q=%3AmostRelevant%3AproductBrandCode%3A104543%3ApriceValue%3A35.0%3ApriceValue%3A70.0</t>
        </is>
      </c>
      <c r="L439" s="0" t="inlineStr">
        <is>
          <t>IMG_7065.HEIC</t>
        </is>
      </c>
    </row>
    <row r="440">
      <c r="A440" s="0" t="n">
        <v>435</v>
      </c>
      <c r="B440" s="6" t="inlineStr">
        <is>
          <t>DOVE</t>
        </is>
      </c>
      <c r="C440" s="6" t="inlineStr">
        <is>
          <t>DOVE Dove Body Wash 1000g - White Peach &amp; White Tea</t>
        </is>
      </c>
      <c r="D440" s="0" t="n">
        <v>47.9</v>
      </c>
      <c r="E440" s="7" t="inlineStr">
        <is>
          <t>Groceries</t>
        </is>
      </c>
      <c r="F440" s="7" t="inlineStr">
        <is>
          <t>Toiletries</t>
        </is>
      </c>
      <c r="G440" s="0" t="inlineStr">
        <is>
          <t>1000G</t>
        </is>
      </c>
      <c r="H440" s="0" t="n"/>
      <c r="I440" s="7">
        <f>IF(H440="","",VALUE(LEFT(H440,FIND("/",H440)-1))/VALUE(MID(H440,FIND("/",H440)+1,99)))</f>
        <v/>
      </c>
      <c r="J440" s="0" t="n"/>
      <c r="K440" s="0" t="inlineStr">
        <is>
          <t>https://www.pns.hk/en/dove-go-fresh-white-peach-body-wash/p/BP_810422</t>
        </is>
      </c>
      <c r="L440" s="0" t="inlineStr">
        <is>
          <t>IMG_7065.HEIC</t>
        </is>
      </c>
    </row>
    <row r="441">
      <c r="A441" s="0" t="n">
        <v>436</v>
      </c>
      <c r="B441" s="6" t="inlineStr">
        <is>
          <t>DETTOL</t>
        </is>
      </c>
      <c r="C441" s="6" t="inlineStr">
        <is>
          <t>DETTOL Dettol Pine Antibacterial Ph-balanced Body Wash</t>
        </is>
      </c>
      <c r="D441" s="0" t="n">
        <v>63</v>
      </c>
      <c r="E441" s="7" t="inlineStr">
        <is>
          <t>Groceries</t>
        </is>
      </c>
      <c r="F441" s="7" t="inlineStr">
        <is>
          <t>Toiletries</t>
        </is>
      </c>
      <c r="G441" s="0" t="inlineStr">
        <is>
          <t>950G</t>
        </is>
      </c>
      <c r="H441" s="0" t="n"/>
      <c r="I441" s="7">
        <f>IF(H441="","",VALUE(LEFT(H441,FIND("/",H441)-1))/VALUE(MID(H441,FIND("/",H441)+1,99)))</f>
        <v/>
      </c>
      <c r="J441" s="0" t="n"/>
      <c r="K441" s="0" t="inlineStr">
        <is>
          <t>https://www.pns.hk/en/personal-care-health/body-wash/c/07020100</t>
        </is>
      </c>
      <c r="L441" s="0" t="inlineStr">
        <is>
          <t>IMG_7065.HEIC</t>
        </is>
      </c>
    </row>
    <row r="442">
      <c r="A442" s="0" t="n">
        <v>437</v>
      </c>
      <c r="B442" s="6" t="inlineStr">
        <is>
          <t>Unknown</t>
        </is>
      </c>
      <c r="C442" s="6" t="inlineStr">
        <is>
          <t>Unknown Dettol body wash (brown variant)</t>
        </is>
      </c>
      <c r="D442" s="0" t="n">
        <v>68</v>
      </c>
      <c r="E442" s="7" t="inlineStr">
        <is>
          <t>Groceries</t>
        </is>
      </c>
      <c r="F442" s="7" t="inlineStr">
        <is>
          <t>Toiletries</t>
        </is>
      </c>
      <c r="G442" s="0" t="inlineStr">
        <is>
          <t>950G</t>
        </is>
      </c>
      <c r="H442" s="0" t="n"/>
      <c r="I442" s="7">
        <f>IF(H442="","",VALUE(LEFT(H442,FIND("/",H442)-1))/VALUE(MID(H442,FIND("/",H442)+1,99)))</f>
        <v/>
      </c>
      <c r="J442" s="0" t="inlineStr">
        <is>
          <t>Dettol branding and large body-wash bottle visible; exact variant unclear</t>
        </is>
      </c>
      <c r="K442" s="0" t="inlineStr">
        <is>
          <t>https://www.pns.hk/en/dettol-body-hand-wash-promotion/c/dettolbodyhand</t>
        </is>
      </c>
      <c r="L442" s="0" t="inlineStr">
        <is>
          <t>IMG_7065.HEIC</t>
        </is>
      </c>
    </row>
    <row r="443">
      <c r="A443" s="0" t="n">
        <v>438</v>
      </c>
      <c r="B443" s="6" t="inlineStr">
        <is>
          <t>DETTOL</t>
        </is>
      </c>
      <c r="C443" s="6" t="inlineStr">
        <is>
          <t>DETTOL Profresh Peach</t>
        </is>
      </c>
      <c r="D443" s="0" t="n">
        <v>68</v>
      </c>
      <c r="E443" s="7" t="inlineStr">
        <is>
          <t>Groceries</t>
        </is>
      </c>
      <c r="F443" s="7" t="inlineStr">
        <is>
          <t>Toiletries</t>
        </is>
      </c>
      <c r="G443" s="0" t="inlineStr">
        <is>
          <t>950G</t>
        </is>
      </c>
      <c r="H443" s="0" t="n"/>
      <c r="I443" s="7">
        <f>IF(H443="","",VALUE(LEFT(H443,FIND("/",H443)-1))/VALUE(MID(H443,FIND("/",H443)+1,99)))</f>
        <v/>
      </c>
      <c r="J443" s="0" t="n"/>
      <c r="K443" s="0" t="inlineStr">
        <is>
          <t>https://www.pns.hk/en/spring-light-skincare/c/springskin</t>
        </is>
      </c>
      <c r="L443" s="0" t="inlineStr">
        <is>
          <t>IMG_7065.HEIC</t>
        </is>
      </c>
    </row>
    <row r="444">
      <c r="A444" s="0" t="n">
        <v>439</v>
      </c>
      <c r="B444" s="6" t="inlineStr">
        <is>
          <t>DETTOL</t>
        </is>
      </c>
      <c r="C444" s="6" t="inlineStr">
        <is>
          <t>DETTOL Original Soap 100g 3pcs</t>
        </is>
      </c>
      <c r="D444" s="0" t="n">
        <v>36.9</v>
      </c>
      <c r="E444" s="7" t="inlineStr">
        <is>
          <t>Groceries</t>
        </is>
      </c>
      <c r="F444" s="7" t="inlineStr">
        <is>
          <t>Toiletries</t>
        </is>
      </c>
      <c r="G444" s="0" t="inlineStr">
        <is>
          <t>3X100G</t>
        </is>
      </c>
      <c r="H444" s="0" t="n"/>
      <c r="I444" s="7">
        <f>IF(H444="","",VALUE(LEFT(H444,FIND("/",H444)-1))/VALUE(MID(H444,FIND("/",H444)+1,99)))</f>
        <v/>
      </c>
      <c r="J444" s="0" t="n"/>
      <c r="K444" s="0" t="inlineStr">
        <is>
          <t>https://www.pns.hk/en/dettol-body-hand-wash-promotion/c/dettolbodyhand</t>
        </is>
      </c>
      <c r="L444" s="0" t="inlineStr">
        <is>
          <t>IMG_7065.HEIC</t>
        </is>
      </c>
    </row>
    <row r="445">
      <c r="A445" s="0" t="n">
        <v>440</v>
      </c>
      <c r="B445" s="6" t="inlineStr">
        <is>
          <t>DOVE</t>
        </is>
      </c>
      <c r="C445" s="6" t="inlineStr">
        <is>
          <t>DOVE Beauty Nourishing Twin Pack (random Free Gift)</t>
        </is>
      </c>
      <c r="D445" s="0" t="n">
        <v>69</v>
      </c>
      <c r="E445" s="7" t="inlineStr">
        <is>
          <t>Groceries</t>
        </is>
      </c>
      <c r="F445" s="7" t="inlineStr">
        <is>
          <t>Toiletries</t>
        </is>
      </c>
      <c r="G445" s="0" t="inlineStr">
        <is>
          <t>PACK</t>
        </is>
      </c>
      <c r="H445" s="0" t="n"/>
      <c r="I445" s="7">
        <f>IF(H445="","",VALUE(LEFT(H445,FIND("/",H445)-1))/VALUE(MID(H445,FIND("/",H445)+1,99)))</f>
        <v/>
      </c>
      <c r="J445" s="0" t="inlineStr">
        <is>
          <t>Discounted from HK$86.0; free-gift promotion visible</t>
        </is>
      </c>
      <c r="K445" s="0" t="inlineStr">
        <is>
          <t>https://www.pns.hk/en/dove-lux-body-wash/c/dovebath</t>
        </is>
      </c>
      <c r="L445" s="0" t="inlineStr">
        <is>
          <t>IMG_7065.HEIC</t>
        </is>
      </c>
    </row>
    <row r="446">
      <c r="A446" s="0" t="n">
        <v>441</v>
      </c>
      <c r="B446" s="6" t="inlineStr">
        <is>
          <t>DOVE</t>
        </is>
      </c>
      <c r="C446" s="6" t="inlineStr">
        <is>
          <t>DOVE Go Fresh Body Wash - Peach Tp (random Free Gift)</t>
        </is>
      </c>
      <c r="D446" s="0" t="n">
        <v>69</v>
      </c>
      <c r="E446" s="7" t="inlineStr">
        <is>
          <t>Groceries</t>
        </is>
      </c>
      <c r="F446" s="7" t="inlineStr">
        <is>
          <t>Toiletries</t>
        </is>
      </c>
      <c r="G446" s="0" t="inlineStr">
        <is>
          <t>PACK</t>
        </is>
      </c>
      <c r="H446" s="0" t="n"/>
      <c r="I446" s="7">
        <f>IF(H446="","",VALUE(LEFT(H446,FIND("/",H446)-1))/VALUE(MID(H446,FIND("/",H446)+1,99)))</f>
        <v/>
      </c>
      <c r="J446" s="0" t="inlineStr">
        <is>
          <t>Discounted from HK$86.0; free-gift promotion visible</t>
        </is>
      </c>
      <c r="K446" s="0" t="inlineStr">
        <is>
          <t>https://www.pns.hk/en/dove-lux-body-wash/c/dovebath</t>
        </is>
      </c>
      <c r="L446" s="0" t="inlineStr">
        <is>
          <t>IMG_7065.HEIC</t>
        </is>
      </c>
    </row>
    <row r="447">
      <c r="A447" s="0" t="n">
        <v>442</v>
      </c>
      <c r="B447" s="6" t="inlineStr">
        <is>
          <t>DOVE</t>
        </is>
      </c>
      <c r="C447" s="6" t="inlineStr">
        <is>
          <t>DOVE Go Fresh Body Wash - Lavender+sakura (random Free Gift)</t>
        </is>
      </c>
      <c r="D447" s="0" t="n">
        <v>69</v>
      </c>
      <c r="E447" s="7" t="inlineStr">
        <is>
          <t>Groceries</t>
        </is>
      </c>
      <c r="F447" s="7" t="inlineStr">
        <is>
          <t>Toiletries</t>
        </is>
      </c>
      <c r="G447" s="0" t="inlineStr">
        <is>
          <t>PACK</t>
        </is>
      </c>
      <c r="H447" s="0" t="n"/>
      <c r="I447" s="7">
        <f>IF(H447="","",VALUE(LEFT(H447,FIND("/",H447)-1))/VALUE(MID(H447,FIND("/",H447)+1,99)))</f>
        <v/>
      </c>
      <c r="J447" s="0" t="inlineStr">
        <is>
          <t>Discounted from HK$86.0; free-gift promotion visible</t>
        </is>
      </c>
      <c r="K447" s="0" t="inlineStr">
        <is>
          <t>https://www.pns.hk/en/dove-lux-body-wash/c/dovebath</t>
        </is>
      </c>
      <c r="L447" s="0" t="inlineStr">
        <is>
          <t>IMG_7065.HEIC</t>
        </is>
      </c>
    </row>
    <row r="448">
      <c r="A448" s="0" t="n">
        <v>443</v>
      </c>
      <c r="B448" s="6" t="inlineStr">
        <is>
          <t>DOVE</t>
        </is>
      </c>
      <c r="C448" s="6" t="inlineStr">
        <is>
          <t>DOVE Dove Beauty Nourishing + Grapefruit Bp</t>
        </is>
      </c>
      <c r="D448" s="0" t="n">
        <v>69</v>
      </c>
      <c r="E448" s="7" t="inlineStr">
        <is>
          <t>Groceries</t>
        </is>
      </c>
      <c r="F448" s="7" t="inlineStr">
        <is>
          <t>Toiletries</t>
        </is>
      </c>
      <c r="G448" s="0" t="inlineStr">
        <is>
          <t>PACK</t>
        </is>
      </c>
      <c r="H448" s="0" t="n"/>
      <c r="I448" s="7">
        <f>IF(H448="","",VALUE(LEFT(H448,FIND("/",H448)-1))/VALUE(MID(H448,FIND("/",H448)+1,99)))</f>
        <v/>
      </c>
      <c r="J448" s="0" t="inlineStr">
        <is>
          <t>Discounted from HK$86.0; bundle-pack presentation</t>
        </is>
      </c>
      <c r="K448" s="0" t="inlineStr">
        <is>
          <t>https://www.pns.hk/en/dove-lux-body-wash/c/dovebath</t>
        </is>
      </c>
      <c r="L448" s="0" t="inlineStr">
        <is>
          <t>IMG_7065.HEIC</t>
        </is>
      </c>
    </row>
    <row r="449">
      <c r="A449" s="0" t="n">
        <v>444</v>
      </c>
      <c r="B449" s="6" t="inlineStr">
        <is>
          <t>OPAL</t>
        </is>
      </c>
      <c r="C449" s="6" t="inlineStr">
        <is>
          <t>OPAL Moisturising Anti-bacterial Shower Foam</t>
        </is>
      </c>
      <c r="D449" s="0" t="n">
        <v>86.5</v>
      </c>
      <c r="E449" s="7" t="inlineStr">
        <is>
          <t>Groceries</t>
        </is>
      </c>
      <c r="F449" s="7" t="inlineStr">
        <is>
          <t>Toiletries</t>
        </is>
      </c>
      <c r="G449" s="0" t="inlineStr">
        <is>
          <t>PACK</t>
        </is>
      </c>
      <c r="H449" s="0" t="n"/>
      <c r="I449" s="7">
        <f>IF(H449="","",VALUE(LEFT(H449,FIND("/",H449)-1))/VALUE(MID(H449,FIND("/",H449)+1,99)))</f>
        <v/>
      </c>
      <c r="J449" s="0" t="inlineStr">
        <is>
          <t>Multi-bottle pack; pack size is not specified on the visible label</t>
        </is>
      </c>
      <c r="K449" s="0" t="inlineStr">
        <is>
          <t>https://www.pns.hk/en/moisturising-anti-bacterial-shower-foam/p/BP_395353</t>
        </is>
      </c>
      <c r="L449" s="0" t="inlineStr">
        <is>
          <t>IMG_7065.HEIC</t>
        </is>
      </c>
    </row>
    <row r="450">
      <c r="A450" s="0" t="n">
        <v>445</v>
      </c>
      <c r="B450" s="6" t="inlineStr">
        <is>
          <t>LUX</t>
        </is>
      </c>
      <c r="C450" s="6" t="inlineStr">
        <is>
          <t>LUX Shower Gel Soft Kiss (variant/size inferred)</t>
        </is>
      </c>
      <c r="D450" s="0" t="n">
        <v>40</v>
      </c>
      <c r="E450" s="7" t="inlineStr">
        <is>
          <t>Groceries</t>
        </is>
      </c>
      <c r="F450" s="7" t="inlineStr">
        <is>
          <t>Toiletries</t>
        </is>
      </c>
      <c r="G450" s="0" t="inlineStr">
        <is>
          <t>Unknown</t>
        </is>
      </c>
      <c r="H450" s="0" t="n"/>
      <c r="I450" s="7">
        <f>IF(H450="","",VALUE(LEFT(H450,FIND("/",H450)-1))/VALUE(MID(H450,FIND("/",H450)+1,99)))</f>
        <v/>
      </c>
      <c r="J450" s="0" t="inlineStr">
        <is>
          <t>Pink LUX bottle; exact volume is obscured</t>
        </is>
      </c>
      <c r="K450" s="0" t="inlineStr">
        <is>
          <t>https://www.pns.hk/en/all-brands/b/112751/lux</t>
        </is>
      </c>
      <c r="L450" s="0" t="inlineStr">
        <is>
          <t>IMG_7065.HEIC</t>
        </is>
      </c>
    </row>
    <row r="451">
      <c r="A451" s="0" t="n">
        <v>446</v>
      </c>
      <c r="B451" s="6" t="inlineStr">
        <is>
          <t>Unknown</t>
        </is>
      </c>
      <c r="C451" s="6" t="inlineStr">
        <is>
          <t>Unknown white/red body-wash product</t>
        </is>
      </c>
      <c r="D451" s="0" t="n">
        <v>42</v>
      </c>
      <c r="E451" s="7" t="inlineStr">
        <is>
          <t>Groceries</t>
        </is>
      </c>
      <c r="F451" s="7" t="inlineStr">
        <is>
          <t>Toiletries</t>
        </is>
      </c>
      <c r="G451" s="0" t="inlineStr">
        <is>
          <t>Unknown</t>
        </is>
      </c>
      <c r="H451" s="0" t="n"/>
      <c r="I451" s="7">
        <f>IF(H451="","",VALUE(LEFT(H451,FIND("/",H451)-1))/VALUE(MID(H451,FIND("/",H451)+1,99)))</f>
        <v/>
      </c>
      <c r="J451" s="0" t="inlineStr">
        <is>
          <t>Brand and variant are not readable</t>
        </is>
      </c>
      <c r="K451" s="0" t="str"/>
      <c r="L451" s="0" t="inlineStr">
        <is>
          <t>IMG_7065.HEIC</t>
        </is>
      </c>
    </row>
    <row r="452">
      <c r="A452" s="0" t="n">
        <v>447</v>
      </c>
      <c r="B452" s="6" t="inlineStr">
        <is>
          <t>Unknown</t>
        </is>
      </c>
      <c r="C452" s="6" t="inlineStr">
        <is>
          <t>Unknown dark-purple body-wash product</t>
        </is>
      </c>
      <c r="D452" s="0" t="n">
        <v>42</v>
      </c>
      <c r="E452" s="7" t="inlineStr">
        <is>
          <t>Groceries</t>
        </is>
      </c>
      <c r="F452" s="7" t="inlineStr">
        <is>
          <t>Toiletries</t>
        </is>
      </c>
      <c r="G452" s="0" t="inlineStr">
        <is>
          <t>Unknown</t>
        </is>
      </c>
      <c r="H452" s="0" t="n"/>
      <c r="I452" s="7">
        <f>IF(H452="","",VALUE(LEFT(H452,FIND("/",H452)-1))/VALUE(MID(H452,FIND("/",H452)+1,99)))</f>
        <v/>
      </c>
      <c r="J452" s="0" t="inlineStr">
        <is>
          <t>Brand and variant are not readable</t>
        </is>
      </c>
      <c r="K452" s="0" t="str"/>
      <c r="L452" s="0" t="inlineStr">
        <is>
          <t>IMG_7065.HEIC</t>
        </is>
      </c>
    </row>
    <row r="453">
      <c r="A453" s="0" t="n">
        <v>448</v>
      </c>
      <c r="B453" s="6" t="inlineStr">
        <is>
          <t>Unknown</t>
        </is>
      </c>
      <c r="C453" s="6" t="inlineStr">
        <is>
          <t>Unknown black body-wash product</t>
        </is>
      </c>
      <c r="D453" s="0" t="n">
        <v>43</v>
      </c>
      <c r="E453" s="7" t="inlineStr">
        <is>
          <t>Groceries</t>
        </is>
      </c>
      <c r="F453" s="7" t="inlineStr">
        <is>
          <t>Toiletries</t>
        </is>
      </c>
      <c r="G453" s="0" t="inlineStr">
        <is>
          <t>Unknown</t>
        </is>
      </c>
      <c r="H453" s="0" t="n"/>
      <c r="I453" s="7">
        <f>IF(H453="","",VALUE(LEFT(H453,FIND("/",H453)-1))/VALUE(MID(H453,FIND("/",H453)+1,99)))</f>
        <v/>
      </c>
      <c r="J453" s="0" t="inlineStr">
        <is>
          <t>Brand and variant are not readable</t>
        </is>
      </c>
      <c r="K453" s="0" t="str"/>
      <c r="L453" s="0" t="inlineStr">
        <is>
          <t>IMG_7065.HEIC</t>
        </is>
      </c>
    </row>
    <row r="454">
      <c r="A454" s="0" t="n">
        <v>449</v>
      </c>
      <c r="B454" s="6" t="inlineStr">
        <is>
          <t>DETTOL</t>
        </is>
      </c>
      <c r="C454" s="6" t="inlineStr">
        <is>
          <t>DETTOL Dettol Proskin Aloe Vera &amp; White Jasmine Hand Wash</t>
        </is>
      </c>
      <c r="D454" s="0" t="n">
        <v>42</v>
      </c>
      <c r="E454" s="7" t="inlineStr">
        <is>
          <t>Groceries</t>
        </is>
      </c>
      <c r="F454" s="7" t="inlineStr">
        <is>
          <t>Toiletries</t>
        </is>
      </c>
      <c r="G454" s="0" t="inlineStr">
        <is>
          <t>500G</t>
        </is>
      </c>
      <c r="H454" s="0" t="n"/>
      <c r="I454" s="7">
        <f>IF(H454="","",VALUE(LEFT(H454,FIND("/",H454)-1))/VALUE(MID(H454,FIND("/",H454)+1,99)))</f>
        <v/>
      </c>
      <c r="J454" s="0" t="n"/>
      <c r="K454" s="0" t="inlineStr">
        <is>
          <t>https://www.pns.hk/en/dettol-flagship-store-hand-wash/c/dettolhandwash</t>
        </is>
      </c>
      <c r="L454" s="0" t="inlineStr">
        <is>
          <t>IMG_7065.HEIC</t>
        </is>
      </c>
    </row>
    <row r="455">
      <c r="A455" s="0" t="n">
        <v>450</v>
      </c>
      <c r="B455" s="6" t="inlineStr">
        <is>
          <t>Unknown</t>
        </is>
      </c>
      <c r="C455" s="6" t="inlineStr">
        <is>
          <t>Unknown Dettol body-wash product (orange cap)</t>
        </is>
      </c>
      <c r="D455" s="0" t="n">
        <v>59.9</v>
      </c>
      <c r="E455" s="7" t="inlineStr">
        <is>
          <t>Groceries</t>
        </is>
      </c>
      <c r="F455" s="7" t="inlineStr">
        <is>
          <t>Toiletries</t>
        </is>
      </c>
      <c r="G455" s="0" t="inlineStr">
        <is>
          <t>Unknown</t>
        </is>
      </c>
      <c r="H455" s="0" t="n"/>
      <c r="I455" s="7">
        <f>IF(H455="","",VALUE(LEFT(H455,FIND("/",H455)-1))/VALUE(MID(H455,FIND("/",H455)+1,99)))</f>
        <v/>
      </c>
      <c r="J455" s="0" t="inlineStr">
        <is>
          <t>Dettol branding is visible; exact variant and size are unclear</t>
        </is>
      </c>
      <c r="K455" s="0" t="str"/>
      <c r="L455" s="0" t="inlineStr">
        <is>
          <t>IMG_7065.HEIC</t>
        </is>
      </c>
    </row>
    <row r="456">
      <c r="A456" s="0" t="n">
        <v>451</v>
      </c>
      <c r="B456" s="6" t="inlineStr">
        <is>
          <t>Unknown</t>
        </is>
      </c>
      <c r="C456" s="6" t="inlineStr">
        <is>
          <t>Unknown blue/white body-wash product (right-edge partial)</t>
        </is>
      </c>
      <c r="D456" s="0" t="n"/>
      <c r="E456" s="7" t="inlineStr">
        <is>
          <t>Groceries</t>
        </is>
      </c>
      <c r="F456" s="7" t="inlineStr">
        <is>
          <t>Toiletries</t>
        </is>
      </c>
      <c r="G456" s="0" t="inlineStr">
        <is>
          <t>Unknown</t>
        </is>
      </c>
      <c r="H456" s="0" t="n"/>
      <c r="I456" s="7">
        <f>IF(H456="","",VALUE(LEFT(H456,FIND("/",H456)-1))/VALUE(MID(H456,FIND("/",H456)+1,99)))</f>
        <v/>
      </c>
      <c r="J456" s="0" t="inlineStr">
        <is>
          <t>Only a partial facing is visible</t>
        </is>
      </c>
      <c r="K456" s="0" t="str"/>
      <c r="L456" s="0" t="inlineStr">
        <is>
          <t>IMG_7065.HEIC</t>
        </is>
      </c>
    </row>
    <row r="457">
      <c r="A457" s="0" t="n">
        <v>452</v>
      </c>
      <c r="B457" s="6" t="inlineStr">
        <is>
          <t>WALCH</t>
        </is>
      </c>
      <c r="C457" s="6" t="inlineStr">
        <is>
          <t>WALCH Walch Hand Wash Gel Refreshing 450ml*3+hand San 20ml</t>
        </is>
      </c>
      <c r="D457" s="0" t="n">
        <v>64.90000000000001</v>
      </c>
      <c r="E457" s="7" t="inlineStr">
        <is>
          <t>Groceries</t>
        </is>
      </c>
      <c r="F457" s="7" t="inlineStr">
        <is>
          <t>Toiletries</t>
        </is>
      </c>
      <c r="G457" s="0" t="inlineStr">
        <is>
          <t>3X450ML</t>
        </is>
      </c>
      <c r="H457" s="0" t="n"/>
      <c r="I457" s="7">
        <f>IF(H457="","",VALUE(LEFT(H457,FIND("/",H457)-1))/VALUE(MID(H457,FIND("/",H457)+1,99)))</f>
        <v/>
      </c>
      <c r="J457" s="0" t="inlineStr">
        <is>
          <t>Two identical facings visible; consolidated as one SKU</t>
        </is>
      </c>
      <c r="K457" s="0" t="inlineStr">
        <is>
          <t>https://www.pns.hk/en/search?text=Walch+hand+wash</t>
        </is>
      </c>
      <c r="L457" s="0" t="inlineStr">
        <is>
          <t>IMG_7066.HEIC</t>
        </is>
      </c>
    </row>
    <row r="458">
      <c r="A458" s="0" t="n">
        <v>453</v>
      </c>
      <c r="B458" s="6" t="inlineStr">
        <is>
          <t>KIREI KIREI</t>
        </is>
      </c>
      <c r="C458" s="6" t="inlineStr">
        <is>
          <t>KIREI KIREI Anti-bac Foaming Hw (baby Powder)</t>
        </is>
      </c>
      <c r="D458" s="0" t="n">
        <v>35</v>
      </c>
      <c r="E458" s="7" t="inlineStr">
        <is>
          <t>Groceries</t>
        </is>
      </c>
      <c r="F458" s="7" t="inlineStr">
        <is>
          <t>Toiletries</t>
        </is>
      </c>
      <c r="G458" s="0" t="inlineStr">
        <is>
          <t>490ML</t>
        </is>
      </c>
      <c r="H458" s="0" t="inlineStr">
        <is>
          <t>59.5/2</t>
        </is>
      </c>
      <c r="I458" s="7">
        <f>IF(H458="","",VALUE(LEFT(H458,FIND("/",H458)-1))/VALUE(MID(H458,FIND("/",H458)+1,99)))</f>
        <v/>
      </c>
      <c r="J458" s="0" t="inlineStr">
        <is>
          <t>Shelf tag shows a 59.5-for-2 promotion</t>
        </is>
      </c>
      <c r="K458" s="0" t="inlineStr">
        <is>
          <t>https://www.pns.hk/en/anti-bac-foaming-hw-baby-powder/p/BP_383573</t>
        </is>
      </c>
      <c r="L458" s="0" t="inlineStr">
        <is>
          <t>IMG_7066.HEIC</t>
        </is>
      </c>
    </row>
    <row r="459">
      <c r="A459" s="0" t="n">
        <v>454</v>
      </c>
      <c r="B459" s="6" t="inlineStr">
        <is>
          <t>WATSONS</t>
        </is>
      </c>
      <c r="C459" s="6" t="inlineStr">
        <is>
          <t>WATSONS Antibacterial Foaming Hand Wash - Wild Berry</t>
        </is>
      </c>
      <c r="D459" s="0" t="n">
        <v>14</v>
      </c>
      <c r="E459" s="7" t="inlineStr">
        <is>
          <t>Groceries</t>
        </is>
      </c>
      <c r="F459" s="7" t="inlineStr">
        <is>
          <t>Toiletries</t>
        </is>
      </c>
      <c r="G459" s="0" t="inlineStr">
        <is>
          <t>300ML</t>
        </is>
      </c>
      <c r="H459" s="0" t="n"/>
      <c r="I459" s="7">
        <f>IF(H459="","",VALUE(LEFT(H459,FIND("/",H459)-1))/VALUE(MID(H459,FIND("/",H459)+1,99)))</f>
        <v/>
      </c>
      <c r="J459" s="0" t="inlineStr">
        <is>
          <t>Variant matched from the berry-coloured liquid/label</t>
        </is>
      </c>
      <c r="K459" s="0" t="inlineStr">
        <is>
          <t>https://www.pns.hk/en/antibacterial-foaming-hw-wild-berry/p/BP_817004</t>
        </is>
      </c>
      <c r="L459" s="0" t="inlineStr">
        <is>
          <t>IMG_7066.HEIC</t>
        </is>
      </c>
    </row>
    <row r="460">
      <c r="A460" s="0" t="n">
        <v>455</v>
      </c>
      <c r="B460" s="6" t="inlineStr">
        <is>
          <t>BIORE</t>
        </is>
      </c>
      <c r="C460" s="6" t="inlineStr">
        <is>
          <t>Bioré Zero Deodorant Roll On (Unscented)</t>
        </is>
      </c>
      <c r="D460" s="0" t="n">
        <v>49.9</v>
      </c>
      <c r="E460" s="7" t="inlineStr">
        <is>
          <t>Groceries</t>
        </is>
      </c>
      <c r="F460" s="7" t="inlineStr">
        <is>
          <t>Toiletries</t>
        </is>
      </c>
      <c r="G460" s="0" t="inlineStr">
        <is>
          <t>40ML</t>
        </is>
      </c>
      <c r="H460" s="0" t="n"/>
      <c r="I460" s="7">
        <f>IF(H460="","",VALUE(LEFT(H460,FIND("/",H460)-1))/VALUE(MID(H460,FIND("/",H460)+1,99)))</f>
        <v/>
      </c>
      <c r="J460" s="0" t="inlineStr">
        <is>
          <t>Top-shelf product name confirmed from the package text</t>
        </is>
      </c>
      <c r="K460" s="0" t="inlineStr">
        <is>
          <t>https://www.kao.com/hk/products/biore/bio_dz_rollon_00/</t>
        </is>
      </c>
      <c r="L460" s="0" t="inlineStr">
        <is>
          <t>IMG_7066.HEIC</t>
        </is>
      </c>
    </row>
    <row r="461">
      <c r="A461" s="0" t="n">
        <v>456</v>
      </c>
      <c r="B461" s="6" t="inlineStr">
        <is>
          <t>REXONA</t>
        </is>
      </c>
      <c r="C461" s="6" t="inlineStr">
        <is>
          <t>REXONA Rexona Women Aerosol 135ml - Cotton Dry</t>
        </is>
      </c>
      <c r="D461" s="0" t="n">
        <v>29</v>
      </c>
      <c r="E461" s="7" t="inlineStr">
        <is>
          <t>Groceries</t>
        </is>
      </c>
      <c r="F461" s="7" t="inlineStr">
        <is>
          <t>Toiletries</t>
        </is>
      </c>
      <c r="G461" s="0" t="inlineStr">
        <is>
          <t>135ML</t>
        </is>
      </c>
      <c r="H461" s="0" t="n"/>
      <c r="I461" s="7">
        <f>IF(H461="","",VALUE(LEFT(H461,FIND("/",H461)-1))/VALUE(MID(H461,FIND("/",H461)+1,99)))</f>
        <v/>
      </c>
      <c r="J461" s="0" t="inlineStr">
        <is>
          <t>Cotton Dry and 72H are visible; shelf price association is approximate</t>
        </is>
      </c>
      <c r="K461" s="0" t="inlineStr">
        <is>
          <t>https://www.pns.hk/en/rexona-women-aerosol-135ml-cotton-dry/p/BP_411433</t>
        </is>
      </c>
      <c r="L461" s="0" t="inlineStr">
        <is>
          <t>IMG_7066.HEIC</t>
        </is>
      </c>
    </row>
    <row r="462">
      <c r="A462" s="0" t="n">
        <v>457</v>
      </c>
      <c r="B462" s="6" t="inlineStr">
        <is>
          <t>NIVEA</t>
        </is>
      </c>
      <c r="C462" s="6" t="inlineStr">
        <is>
          <t>NIVEA Invisible Black &amp; White Power Spray</t>
        </is>
      </c>
      <c r="D462" s="0" t="n">
        <v>40</v>
      </c>
      <c r="E462" s="7" t="inlineStr">
        <is>
          <t>Groceries</t>
        </is>
      </c>
      <c r="F462" s="7" t="inlineStr">
        <is>
          <t>Toiletries</t>
        </is>
      </c>
      <c r="G462" s="0" t="inlineStr">
        <is>
          <t>150ML</t>
        </is>
      </c>
      <c r="H462" s="0" t="n"/>
      <c r="I462" s="7">
        <f>IF(H462="","",VALUE(LEFT(H462,FIND("/",H462)-1))/VALUE(MID(H462,FIND("/",H462)+1,99)))</f>
        <v/>
      </c>
      <c r="J462" s="0" t="inlineStr">
        <is>
          <t>NIVEA MEN Black &amp; White packaging</t>
        </is>
      </c>
      <c r="K462" s="0" t="inlineStr">
        <is>
          <t>https://www.pns.hk/en/invisible-black-white-power-spray-150ml/p/BP_246325</t>
        </is>
      </c>
      <c r="L462" s="0" t="inlineStr">
        <is>
          <t>IMG_7066.HEIC</t>
        </is>
      </c>
    </row>
    <row r="463">
      <c r="A463" s="0" t="n">
        <v>458</v>
      </c>
      <c r="B463" s="6" t="inlineStr">
        <is>
          <t>NIVEA</t>
        </is>
      </c>
      <c r="C463" s="6" t="inlineStr">
        <is>
          <t>NIVEA Extra Whitening Spray</t>
        </is>
      </c>
      <c r="D463" s="0" t="n">
        <v>25.1</v>
      </c>
      <c r="E463" s="7" t="inlineStr">
        <is>
          <t>Groceries</t>
        </is>
      </c>
      <c r="F463" s="7" t="inlineStr">
        <is>
          <t>Toiletries</t>
        </is>
      </c>
      <c r="G463" s="0" t="inlineStr">
        <is>
          <t>150ML</t>
        </is>
      </c>
      <c r="H463" s="0" t="n"/>
      <c r="I463" s="7">
        <f>IF(H463="","",VALUE(LEFT(H463,FIND("/",H463)-1))/VALUE(MID(H463,FIND("/",H463)+1,99)))</f>
        <v/>
      </c>
      <c r="J463" s="0" t="inlineStr">
        <is>
          <t>Discounted; OP = 34.0</t>
        </is>
      </c>
      <c r="K463" s="0" t="inlineStr">
        <is>
          <t>https://www.pns.hk/en/spring-light-skincare/c/springskin</t>
        </is>
      </c>
      <c r="L463" s="0" t="inlineStr">
        <is>
          <t>IMG_7066.HEIC</t>
        </is>
      </c>
    </row>
    <row r="464">
      <c r="A464" s="0" t="n">
        <v>459</v>
      </c>
      <c r="B464" s="6" t="inlineStr">
        <is>
          <t>NIVEA</t>
        </is>
      </c>
      <c r="C464" s="6" t="inlineStr">
        <is>
          <t>NIVEA Invisible Black &amp; White Clear Spray</t>
        </is>
      </c>
      <c r="D464" s="0" t="n">
        <v>40</v>
      </c>
      <c r="E464" s="7" t="inlineStr">
        <is>
          <t>Groceries</t>
        </is>
      </c>
      <c r="F464" s="7" t="inlineStr">
        <is>
          <t>Toiletries</t>
        </is>
      </c>
      <c r="G464" s="0" t="inlineStr">
        <is>
          <t>150ML</t>
        </is>
      </c>
      <c r="H464" s="0" t="n"/>
      <c r="I464" s="7">
        <f>IF(H464="","",VALUE(LEFT(H464,FIND("/",H464)-1))/VALUE(MID(H464,FIND("/",H464)+1,99)))</f>
        <v/>
      </c>
      <c r="J464" s="0" t="inlineStr">
        <is>
          <t>Clear variant matched from the black/white package</t>
        </is>
      </c>
      <c r="K464" s="0" t="inlineStr">
        <is>
          <t>https://www.watsons.com.hk/en/nivea-invisible-black-white-clear-spray-150ml/p/BP_246322</t>
        </is>
      </c>
      <c r="L464" s="0" t="inlineStr">
        <is>
          <t>IMG_7066.HEIC</t>
        </is>
      </c>
    </row>
    <row r="465">
      <c r="A465" s="0" t="n">
        <v>460</v>
      </c>
      <c r="B465" s="6" t="inlineStr">
        <is>
          <t>DOVE</t>
        </is>
      </c>
      <c r="C465" s="6" t="inlineStr">
        <is>
          <t>DOVE Men+Care Invisible Dry aerosol (variant/price unclear)</t>
        </is>
      </c>
      <c r="D465" s="0" t="n"/>
      <c r="E465" s="7" t="inlineStr">
        <is>
          <t>Groceries</t>
        </is>
      </c>
      <c r="F465" s="7" t="inlineStr">
        <is>
          <t>Toiletries</t>
        </is>
      </c>
      <c r="G465" s="0" t="inlineStr">
        <is>
          <t>150ML</t>
        </is>
      </c>
      <c r="H465" s="0" t="n"/>
      <c r="I465" s="7">
        <f>IF(H465="","",VALUE(LEFT(H465,FIND("/",H465)-1))/VALUE(MID(H465,FIND("/",H465)+1,99)))</f>
        <v/>
      </c>
      <c r="J465" s="0" t="inlineStr">
        <is>
          <t>Black +CARE/Invisible Dry can is partly visible at the right edge of the deodorant shelf</t>
        </is>
      </c>
      <c r="K465" s="0" t="inlineStr">
        <is>
          <t>https://www.pns.hk/en/dove-lux-body-wash/c/dovebath</t>
        </is>
      </c>
      <c r="L465" s="0" t="inlineStr">
        <is>
          <t>IMG_7066.HEIC</t>
        </is>
      </c>
    </row>
    <row r="466">
      <c r="A466" s="0" t="n">
        <v>461</v>
      </c>
      <c r="B466" s="6" t="inlineStr">
        <is>
          <t>Unknown</t>
        </is>
      </c>
      <c r="C466" s="6" t="inlineStr">
        <is>
          <t>Unknown Dove deodorant aerosol (right-edge partial)</t>
        </is>
      </c>
      <c r="D466" s="0" t="n"/>
      <c r="E466" s="7" t="inlineStr">
        <is>
          <t>Groceries</t>
        </is>
      </c>
      <c r="F466" s="7" t="inlineStr">
        <is>
          <t>Toiletries</t>
        </is>
      </c>
      <c r="G466" s="0" t="inlineStr">
        <is>
          <t>Unknown</t>
        </is>
      </c>
      <c r="H466" s="0" t="n"/>
      <c r="I466" s="7">
        <f>IF(H466="","",VALUE(LEFT(H466,FIND("/",H466)-1))/VALUE(MID(H466,FIND("/",H466)+1,99)))</f>
        <v/>
      </c>
      <c r="J466" s="0" t="inlineStr">
        <is>
          <t>Only a small white can edge is visible</t>
        </is>
      </c>
      <c r="K466" s="0" t="str"/>
      <c r="L466" s="0" t="inlineStr">
        <is>
          <t>IMG_7066.HEIC</t>
        </is>
      </c>
    </row>
    <row r="467">
      <c r="A467" s="0" t="n">
        <v>462</v>
      </c>
      <c r="B467" s="6" t="inlineStr">
        <is>
          <t>DETTOL</t>
        </is>
      </c>
      <c r="C467" s="6" t="inlineStr">
        <is>
          <t>DETTOL Dettol Hand Wash Skincare</t>
        </is>
      </c>
      <c r="D467" s="0" t="n">
        <v>37</v>
      </c>
      <c r="E467" s="7" t="inlineStr">
        <is>
          <t>Groceries</t>
        </is>
      </c>
      <c r="F467" s="7" t="inlineStr">
        <is>
          <t>Toiletries</t>
        </is>
      </c>
      <c r="G467" s="0" t="inlineStr">
        <is>
          <t>500G</t>
        </is>
      </c>
      <c r="H467" s="0" t="n"/>
      <c r="I467" s="7">
        <f>IF(H467="","",VALUE(LEFT(H467,FIND("/",H467)-1))/VALUE(MID(H467,FIND("/",H467)+1,99)))</f>
        <v/>
      </c>
      <c r="J467" s="0" t="n"/>
      <c r="K467" s="0" t="inlineStr">
        <is>
          <t>https://www.pns.hk/en/dettol-hand-wash-skincare-500g/p/BP_245719</t>
        </is>
      </c>
      <c r="L467" s="0" t="inlineStr">
        <is>
          <t>IMG_7066.HEIC</t>
        </is>
      </c>
    </row>
    <row r="468">
      <c r="A468" s="0" t="n">
        <v>463</v>
      </c>
      <c r="B468" s="6" t="inlineStr">
        <is>
          <t>DETTOL</t>
        </is>
      </c>
      <c r="C468" s="6" t="inlineStr">
        <is>
          <t>DETTOL Dettol Hand Wash Sensitive</t>
        </is>
      </c>
      <c r="D468" s="0" t="n">
        <v>37</v>
      </c>
      <c r="E468" s="7" t="inlineStr">
        <is>
          <t>Groceries</t>
        </is>
      </c>
      <c r="F468" s="7" t="inlineStr">
        <is>
          <t>Toiletries</t>
        </is>
      </c>
      <c r="G468" s="0" t="inlineStr">
        <is>
          <t>500G</t>
        </is>
      </c>
      <c r="H468" s="0" t="n"/>
      <c r="I468" s="7">
        <f>IF(H468="","",VALUE(LEFT(H468,FIND("/",H468)-1))/VALUE(MID(H468,FIND("/",H468)+1,99)))</f>
        <v/>
      </c>
      <c r="J468" s="0" t="n"/>
      <c r="K468" s="0" t="inlineStr">
        <is>
          <t>https://www.pns.hk/en/hand-wash-sensitive-500g/p/BP_245720</t>
        </is>
      </c>
      <c r="L468" s="0" t="inlineStr">
        <is>
          <t>IMG_7066.HEIC</t>
        </is>
      </c>
    </row>
    <row r="469">
      <c r="A469" s="0" t="n">
        <v>464</v>
      </c>
      <c r="B469" s="6" t="inlineStr">
        <is>
          <t>LUX</t>
        </is>
      </c>
      <c r="C469" s="6" t="inlineStr">
        <is>
          <t>LUX Botanicals hand wash (variant unclear)</t>
        </is>
      </c>
      <c r="D469" s="0" t="n">
        <v>20</v>
      </c>
      <c r="E469" s="7" t="inlineStr">
        <is>
          <t>Groceries</t>
        </is>
      </c>
      <c r="F469" s="7" t="inlineStr">
        <is>
          <t>Toiletries</t>
        </is>
      </c>
      <c r="G469" s="0" t="inlineStr">
        <is>
          <t>400G</t>
        </is>
      </c>
      <c r="H469" s="0" t="n"/>
      <c r="I469" s="7">
        <f>IF(H469="","",VALUE(LEFT(H469,FIND("/",H469)-1))/VALUE(MID(H469,FIND("/",H469)+1,99)))</f>
        <v/>
      </c>
      <c r="J469" s="0" t="inlineStr">
        <is>
          <t>Bottle label is partly obscured</t>
        </is>
      </c>
      <c r="K469" s="0" t="inlineStr">
        <is>
          <t>https://www.pns.hk/en/all-brands/b/112751/lux</t>
        </is>
      </c>
      <c r="L469" s="0" t="inlineStr">
        <is>
          <t>IMG_7066.HEIC</t>
        </is>
      </c>
    </row>
    <row r="470">
      <c r="A470" s="0" t="n">
        <v>465</v>
      </c>
      <c r="B470" s="6" t="inlineStr">
        <is>
          <t>WATSONS</t>
        </is>
      </c>
      <c r="C470" s="6" t="inlineStr">
        <is>
          <t>WATSONS Paw Paw Foam Hand Wash (lavender variant)</t>
        </is>
      </c>
      <c r="D470" s="0" t="n">
        <v>19.9</v>
      </c>
      <c r="E470" s="7" t="inlineStr">
        <is>
          <t>Groceries</t>
        </is>
      </c>
      <c r="F470" s="7" t="inlineStr">
        <is>
          <t>Toiletries</t>
        </is>
      </c>
      <c r="G470" s="0" t="inlineStr">
        <is>
          <t>300ML</t>
        </is>
      </c>
      <c r="H470" s="0" t="n"/>
      <c r="I470" s="7">
        <f>IF(H470="","",VALUE(LEFT(H470,FIND("/",H470)-1))/VALUE(MID(H470,FIND("/",H470)+1,99)))</f>
        <v/>
      </c>
      <c r="J470" s="0" t="inlineStr">
        <is>
          <t>Shelf tag is partly obscured; lavender wording is visible on the bottle</t>
        </is>
      </c>
      <c r="K470" s="0" t="inlineStr">
        <is>
          <t>https://www.pns.hk/en/paw-paw-foam-hand-wash-300ml/p/BP_821996</t>
        </is>
      </c>
      <c r="L470" s="0" t="inlineStr">
        <is>
          <t>IMG_7066.HEIC</t>
        </is>
      </c>
    </row>
    <row r="471">
      <c r="A471" s="0" t="n">
        <v>466</v>
      </c>
      <c r="B471" s="6" t="inlineStr">
        <is>
          <t>DETTOL</t>
        </is>
      </c>
      <c r="C471" s="6" t="inlineStr">
        <is>
          <t>DETTOL Dettol Foam Anti-bacterial Hand Wash Aloe Vera</t>
        </is>
      </c>
      <c r="D471" s="0" t="n">
        <v>33</v>
      </c>
      <c r="E471" s="7" t="inlineStr">
        <is>
          <t>Groceries</t>
        </is>
      </c>
      <c r="F471" s="7" t="inlineStr">
        <is>
          <t>Toiletries</t>
        </is>
      </c>
      <c r="G471" s="0" t="inlineStr">
        <is>
          <t>250ML</t>
        </is>
      </c>
      <c r="H471" s="0" t="n"/>
      <c r="I471" s="7">
        <f>IF(H471="","",VALUE(LEFT(H471,FIND("/",H471)-1))/VALUE(MID(H471,FIND("/",H471)+1,99)))</f>
        <v/>
      </c>
      <c r="J471" s="0" t="n"/>
      <c r="K471" s="0" t="inlineStr">
        <is>
          <t>https://www.pns.hk/en/dettol-flagship-store-hand-wash/c/dettolhandwash</t>
        </is>
      </c>
      <c r="L471" s="0" t="inlineStr">
        <is>
          <t>IMG_7066.HEIC</t>
        </is>
      </c>
    </row>
    <row r="472">
      <c r="A472" s="0" t="n">
        <v>467</v>
      </c>
      <c r="B472" s="6" t="inlineStr">
        <is>
          <t>WATSONS</t>
        </is>
      </c>
      <c r="C472" s="6" t="inlineStr">
        <is>
          <t>WATSONS Antibacterial Cream Hand Wash Pine</t>
        </is>
      </c>
      <c r="D472" s="0" t="n">
        <v>15</v>
      </c>
      <c r="E472" s="7" t="inlineStr">
        <is>
          <t>Groceries</t>
        </is>
      </c>
      <c r="F472" s="7" t="inlineStr">
        <is>
          <t>Toiletries</t>
        </is>
      </c>
      <c r="G472" s="0" t="inlineStr">
        <is>
          <t>500ML</t>
        </is>
      </c>
      <c r="H472" s="0" t="n"/>
      <c r="I472" s="7">
        <f>IF(H472="","",VALUE(LEFT(H472,FIND("/",H472)-1))/VALUE(MID(H472,FIND("/",H472)+1,99)))</f>
        <v/>
      </c>
      <c r="J472" s="0" t="inlineStr">
        <is>
          <t>Price/product association is partly obscured; variant matched to package</t>
        </is>
      </c>
      <c r="K472" s="0" t="inlineStr">
        <is>
          <t>https://www.pns.hk/en/antiba-cream-hw-pine/p/BP_817006</t>
        </is>
      </c>
      <c r="L472" s="0" t="inlineStr">
        <is>
          <t>IMG_7066.HEIC</t>
        </is>
      </c>
    </row>
    <row r="473">
      <c r="A473" s="0" t="n">
        <v>468</v>
      </c>
      <c r="B473" s="6" t="inlineStr">
        <is>
          <t>WALCH</t>
        </is>
      </c>
      <c r="C473" s="6" t="inlineStr">
        <is>
          <t>WALCH Walch Antibacterial Foaming Hand Wash Refreshing</t>
        </is>
      </c>
      <c r="D473" s="0" t="n">
        <v>43</v>
      </c>
      <c r="E473" s="7" t="inlineStr">
        <is>
          <t>Groceries</t>
        </is>
      </c>
      <c r="F473" s="7" t="inlineStr">
        <is>
          <t>Toiletries</t>
        </is>
      </c>
      <c r="G473" s="0" t="inlineStr">
        <is>
          <t>290ML</t>
        </is>
      </c>
      <c r="H473" s="0" t="n"/>
      <c r="I473" s="7">
        <f>IF(H473="","",VALUE(LEFT(H473,FIND("/",H473)-1))/VALUE(MID(H473,FIND("/",H473)+1,99)))</f>
        <v/>
      </c>
      <c r="J473" s="0" t="n"/>
      <c r="K473" s="0" t="inlineStr">
        <is>
          <t>https://www.pns.hk/en/personal-care-health/hand-wash/c/07050100</t>
        </is>
      </c>
      <c r="L473" s="0" t="inlineStr">
        <is>
          <t>IMG_7066.HEIC</t>
        </is>
      </c>
    </row>
    <row r="474">
      <c r="A474" s="0" t="n">
        <v>469</v>
      </c>
      <c r="B474" s="6" t="inlineStr">
        <is>
          <t>WATSONS</t>
        </is>
      </c>
      <c r="C474" s="6" t="inlineStr">
        <is>
          <t>WATSONS Lavender &amp; Chamomile Handwash</t>
        </is>
      </c>
      <c r="D474" s="0" t="n">
        <v>13.9</v>
      </c>
      <c r="E474" s="7" t="inlineStr">
        <is>
          <t>Groceries</t>
        </is>
      </c>
      <c r="F474" s="7" t="inlineStr">
        <is>
          <t>Toiletries</t>
        </is>
      </c>
      <c r="G474" s="0" t="inlineStr">
        <is>
          <t>500ML</t>
        </is>
      </c>
      <c r="H474" s="0" t="inlineStr">
        <is>
          <t>18/2</t>
        </is>
      </c>
      <c r="I474" s="7">
        <f>IF(H474="","",VALUE(LEFT(H474,FIND("/",H474)-1))/VALUE(MID(H474,FIND("/",H474)+1,99)))</f>
        <v/>
      </c>
      <c r="J474" s="0" t="inlineStr">
        <is>
          <t>Shelf label appears to show an 18-for-2 promotion</t>
        </is>
      </c>
      <c r="K474" s="0" t="inlineStr">
        <is>
          <t>https://www.pns.hk/en/personal-care-health/hand-wash/c/07050100</t>
        </is>
      </c>
      <c r="L474" s="0" t="inlineStr">
        <is>
          <t>IMG_7066.HEIC</t>
        </is>
      </c>
    </row>
    <row r="475">
      <c r="A475" s="0" t="n">
        <v>470</v>
      </c>
      <c r="B475" s="6" t="inlineStr">
        <is>
          <t>DETTOL</t>
        </is>
      </c>
      <c r="C475" s="6" t="inlineStr">
        <is>
          <t>DETTOL Hand Soap 500g X 3 Tripack (pine)</t>
        </is>
      </c>
      <c r="D475" s="0" t="n">
        <v>80</v>
      </c>
      <c r="E475" s="7" t="inlineStr">
        <is>
          <t>Groceries</t>
        </is>
      </c>
      <c r="F475" s="7" t="inlineStr">
        <is>
          <t>Toiletries</t>
        </is>
      </c>
      <c r="G475" s="0" t="inlineStr">
        <is>
          <t>500GX3</t>
        </is>
      </c>
      <c r="H475" s="0" t="n"/>
      <c r="I475" s="7">
        <f>IF(H475="","",VALUE(LEFT(H475,FIND("/",H475)-1))/VALUE(MID(H475,FIND("/",H475)+1,99)))</f>
        <v/>
      </c>
      <c r="J475" s="0" t="inlineStr">
        <is>
          <t>Large green multipack; discounted from OP 89/100 label context</t>
        </is>
      </c>
      <c r="K475" s="0" t="inlineStr">
        <is>
          <t>https://www.pns.hk/en/dettol-liquid-bath-and-handwash-range-products-promo/c/dettolpc</t>
        </is>
      </c>
      <c r="L475" s="0" t="inlineStr">
        <is>
          <t>IMG_7066.HEIC</t>
        </is>
      </c>
    </row>
    <row r="476">
      <c r="A476" s="0" t="n">
        <v>471</v>
      </c>
      <c r="B476" s="6" t="inlineStr">
        <is>
          <t>DETTOL</t>
        </is>
      </c>
      <c r="C476" s="6" t="inlineStr">
        <is>
          <t>DETTOL Dettol Antibacterial Skincare Hand Wash 500g Tripack</t>
        </is>
      </c>
      <c r="D476" s="0" t="n">
        <v>80</v>
      </c>
      <c r="E476" s="7" t="inlineStr">
        <is>
          <t>Groceries</t>
        </is>
      </c>
      <c r="F476" s="7" t="inlineStr">
        <is>
          <t>Toiletries</t>
        </is>
      </c>
      <c r="G476" s="0" t="inlineStr">
        <is>
          <t>500GX3</t>
        </is>
      </c>
      <c r="H476" s="0" t="n"/>
      <c r="I476" s="7">
        <f>IF(H476="","",VALUE(LEFT(H476,FIND("/",H476)-1))/VALUE(MID(H476,FIND("/",H476)+1,99)))</f>
        <v/>
      </c>
      <c r="J476" s="0" t="inlineStr">
        <is>
          <t>Large green/red multipack; exact front variant partly obscured</t>
        </is>
      </c>
      <c r="K476" s="0" t="inlineStr">
        <is>
          <t>https://www.pns.hk/en/dettol-antibacterial-skincare-hand-wash-500g-tripack/p/BP_246258</t>
        </is>
      </c>
      <c r="L476" s="0" t="inlineStr">
        <is>
          <t>IMG_7066.HEIC</t>
        </is>
      </c>
    </row>
    <row r="477">
      <c r="A477" s="0" t="n">
        <v>472</v>
      </c>
      <c r="B477" s="6" t="inlineStr">
        <is>
          <t>DOVE</t>
        </is>
      </c>
      <c r="C477" s="6" t="inlineStr">
        <is>
          <t>DOVE Body Wash - Beauty Nourishing</t>
        </is>
      </c>
      <c r="D477" s="0" t="n">
        <v>47.9</v>
      </c>
      <c r="E477" s="7" t="inlineStr">
        <is>
          <t>Groceries</t>
        </is>
      </c>
      <c r="F477" s="7" t="inlineStr">
        <is>
          <t>Toiletries</t>
        </is>
      </c>
      <c r="G477" s="0" t="inlineStr">
        <is>
          <t>1000G</t>
        </is>
      </c>
      <c r="H477" s="0" t="n"/>
      <c r="I477" s="7">
        <f>IF(H477="","",VALUE(LEFT(H477,FIND("/",H477)-1))/VALUE(MID(H477,FIND("/",H477)+1,99)))</f>
        <v/>
      </c>
      <c r="J477" s="0" t="n"/>
      <c r="K477" s="0" t="inlineStr">
        <is>
          <t>https://www.pns.hk/en/body-wash-beauty-nourishing/p/BP_449916</t>
        </is>
      </c>
      <c r="L477" s="0" t="inlineStr">
        <is>
          <t>IMG_7066.HEIC</t>
        </is>
      </c>
    </row>
    <row r="478">
      <c r="A478" s="0" t="n">
        <v>473</v>
      </c>
      <c r="B478" s="6" t="inlineStr">
        <is>
          <t>DOVE</t>
        </is>
      </c>
      <c r="C478" s="6" t="inlineStr">
        <is>
          <t>DOVE Dove Body Wash 1000g - Grapefruit &amp; Lime</t>
        </is>
      </c>
      <c r="D478" s="0" t="n">
        <v>47.9</v>
      </c>
      <c r="E478" s="7" t="inlineStr">
        <is>
          <t>Groceries</t>
        </is>
      </c>
      <c r="F478" s="7" t="inlineStr">
        <is>
          <t>Toiletries</t>
        </is>
      </c>
      <c r="G478" s="0" t="inlineStr">
        <is>
          <t>1000G</t>
        </is>
      </c>
      <c r="H478" s="0" t="n"/>
      <c r="I478" s="7">
        <f>IF(H478="","",VALUE(LEFT(H478,FIND("/",H478)-1))/VALUE(MID(H478,FIND("/",H478)+1,99)))</f>
        <v/>
      </c>
      <c r="J478" s="0" t="n"/>
      <c r="K478" s="0" t="inlineStr">
        <is>
          <t>https://www.pns.hk/en/dove-body-wash-1000g-grapefruit-lime/p/BP_140109</t>
        </is>
      </c>
      <c r="L478" s="0" t="inlineStr">
        <is>
          <t>IMG_7066.HEIC</t>
        </is>
      </c>
    </row>
    <row r="479">
      <c r="A479" s="0" t="n">
        <v>474</v>
      </c>
      <c r="B479" s="6" t="inlineStr">
        <is>
          <t>DOVE</t>
        </is>
      </c>
      <c r="C479" s="6" t="inlineStr">
        <is>
          <t>DOVE Dove Body Wash 1000g - Acai Berry</t>
        </is>
      </c>
      <c r="D479" s="0" t="n">
        <v>47.9</v>
      </c>
      <c r="E479" s="7" t="inlineStr">
        <is>
          <t>Groceries</t>
        </is>
      </c>
      <c r="F479" s="7" t="inlineStr">
        <is>
          <t>Toiletries</t>
        </is>
      </c>
      <c r="G479" s="0" t="inlineStr">
        <is>
          <t>1000G</t>
        </is>
      </c>
      <c r="H479" s="0" t="n"/>
      <c r="I479" s="7">
        <f>IF(H479="","",VALUE(LEFT(H479,FIND("/",H479)-1))/VALUE(MID(H479,FIND("/",H479)+1,99)))</f>
        <v/>
      </c>
      <c r="J479" s="0" t="n"/>
      <c r="K479" s="0" t="inlineStr">
        <is>
          <t>https://www.pns.hk/en/personal-care-health/body-wash/c/07020100</t>
        </is>
      </c>
      <c r="L479" s="0" t="inlineStr">
        <is>
          <t>IMG_7066.HEIC</t>
        </is>
      </c>
    </row>
    <row r="480">
      <c r="A480" s="0" t="n">
        <v>475</v>
      </c>
      <c r="B480" s="6" t="inlineStr">
        <is>
          <t>DOVE</t>
        </is>
      </c>
      <c r="C480" s="6" t="inlineStr">
        <is>
          <t>DOVE Dove Body Wash 1000g - White Peach &amp; White Tea</t>
        </is>
      </c>
      <c r="D480" s="0" t="n">
        <v>47.9</v>
      </c>
      <c r="E480" s="7" t="inlineStr">
        <is>
          <t>Groceries</t>
        </is>
      </c>
      <c r="F480" s="7" t="inlineStr">
        <is>
          <t>Toiletries</t>
        </is>
      </c>
      <c r="G480" s="0" t="inlineStr">
        <is>
          <t>1000G</t>
        </is>
      </c>
      <c r="H480" s="0" t="n"/>
      <c r="I480" s="7">
        <f>IF(H480="","",VALUE(LEFT(H480,FIND("/",H480)-1))/VALUE(MID(H480,FIND("/",H480)+1,99)))</f>
        <v/>
      </c>
      <c r="J480" s="0" t="n"/>
      <c r="K480" s="0" t="inlineStr">
        <is>
          <t>https://www.pns.hk/en/dove-go-fresh-white-peach-body-wash/p/BP_810422</t>
        </is>
      </c>
      <c r="L480" s="0" t="inlineStr">
        <is>
          <t>IMG_7066.HEIC</t>
        </is>
      </c>
    </row>
    <row r="481">
      <c r="A481" s="0" t="n">
        <v>476</v>
      </c>
      <c r="B481" s="6" t="inlineStr">
        <is>
          <t>DETTOL</t>
        </is>
      </c>
      <c r="C481" s="6" t="inlineStr">
        <is>
          <t>DETTOL Original Antibacterial pH-balanced Body Wash</t>
        </is>
      </c>
      <c r="D481" s="0" t="n">
        <v>63</v>
      </c>
      <c r="E481" s="7" t="inlineStr">
        <is>
          <t>Groceries</t>
        </is>
      </c>
      <c r="F481" s="7" t="inlineStr">
        <is>
          <t>Toiletries</t>
        </is>
      </c>
      <c r="G481" s="0" t="inlineStr">
        <is>
          <t>300G</t>
        </is>
      </c>
      <c r="H481" s="0" t="n"/>
      <c r="I481" s="7">
        <f>IF(H481="","",VALUE(LEFT(H481,FIND("/",H481)-1))/VALUE(MID(H481,FIND("/",H481)+1,99)))</f>
        <v/>
      </c>
      <c r="J481" s="0" t="inlineStr">
        <is>
          <t>Original variant and 300g marking visible</t>
        </is>
      </c>
      <c r="K481" s="0" t="inlineStr">
        <is>
          <t>https://www.pns.hk/en/personal-care-health/body-wash/c/07020100</t>
        </is>
      </c>
      <c r="L481" s="0" t="inlineStr">
        <is>
          <t>IMG_7066.HEIC</t>
        </is>
      </c>
    </row>
    <row r="482">
      <c r="A482" s="0" t="n">
        <v>477</v>
      </c>
      <c r="B482" s="6" t="inlineStr">
        <is>
          <t>DETTOL</t>
        </is>
      </c>
      <c r="C482" s="6" t="inlineStr">
        <is>
          <t>DETTOL Dettol Gold Classic Clean Shower Foam</t>
        </is>
      </c>
      <c r="D482" s="0" t="n">
        <v>68</v>
      </c>
      <c r="E482" s="7" t="inlineStr">
        <is>
          <t>Groceries</t>
        </is>
      </c>
      <c r="F482" s="7" t="inlineStr">
        <is>
          <t>Toiletries</t>
        </is>
      </c>
      <c r="G482" s="0" t="inlineStr">
        <is>
          <t>950G</t>
        </is>
      </c>
      <c r="H482" s="0" t="n"/>
      <c r="I482" s="7">
        <f>IF(H482="","",VALUE(LEFT(H482,FIND("/",H482)-1))/VALUE(MID(H482,FIND("/",H482)+1,99)))</f>
        <v/>
      </c>
      <c r="J482" s="0" t="n"/>
      <c r="K482" s="0" t="inlineStr">
        <is>
          <t>https://www.pns.hk/en/dettol-liquid-bath-and-handwash-range-products-promo/c/dettolpc</t>
        </is>
      </c>
      <c r="L482" s="0" t="inlineStr">
        <is>
          <t>IMG_7066.HEIC</t>
        </is>
      </c>
    </row>
    <row r="483">
      <c r="A483" s="0" t="n">
        <v>478</v>
      </c>
      <c r="B483" s="6" t="inlineStr">
        <is>
          <t>DETTOL</t>
        </is>
      </c>
      <c r="C483" s="6" t="inlineStr">
        <is>
          <t>DETTOL Profresh Peach Burst Body Wash</t>
        </is>
      </c>
      <c r="D483" s="0" t="n">
        <v>68</v>
      </c>
      <c r="E483" s="7" t="inlineStr">
        <is>
          <t>Groceries</t>
        </is>
      </c>
      <c r="F483" s="7" t="inlineStr">
        <is>
          <t>Toiletries</t>
        </is>
      </c>
      <c r="G483" s="0" t="inlineStr">
        <is>
          <t>950G</t>
        </is>
      </c>
      <c r="H483" s="0" t="n"/>
      <c r="I483" s="7">
        <f>IF(H483="","",VALUE(LEFT(H483,FIND("/",H483)-1))/VALUE(MID(H483,FIND("/",H483)+1,99)))</f>
        <v/>
      </c>
      <c r="J483" s="0" t="n"/>
      <c r="K483" s="0" t="inlineStr">
        <is>
          <t>https://www.pns.hk/en/spring-light-skincare/c/springskin</t>
        </is>
      </c>
      <c r="L483" s="0" t="inlineStr">
        <is>
          <t>IMG_7066.HEIC</t>
        </is>
      </c>
    </row>
    <row r="484">
      <c r="A484" s="0" t="n">
        <v>479</v>
      </c>
      <c r="B484" s="6" t="inlineStr">
        <is>
          <t>IMPERIAL LEATHER</t>
        </is>
      </c>
      <c r="C484" s="6" t="inlineStr">
        <is>
          <t>Imperial Leather soap pack (variant unclear)</t>
        </is>
      </c>
      <c r="D484" s="0" t="n"/>
      <c r="E484" s="7" t="inlineStr">
        <is>
          <t>Groceries</t>
        </is>
      </c>
      <c r="F484" s="7" t="inlineStr">
        <is>
          <t>Toiletries</t>
        </is>
      </c>
      <c r="G484" s="0" t="inlineStr">
        <is>
          <t>Unknown</t>
        </is>
      </c>
      <c r="H484" s="0" t="n"/>
      <c r="I484" s="7">
        <f>IF(H484="","",VALUE(LEFT(H484,FIND("/",H484)-1))/VALUE(MID(H484,FIND("/",H484)+1,99)))</f>
        <v/>
      </c>
      <c r="J484" s="0" t="inlineStr">
        <is>
          <t>Red Imperial Leather packs are only partly visible at the far right</t>
        </is>
      </c>
      <c r="K484" s="0" t="str"/>
      <c r="L484" s="0" t="inlineStr">
        <is>
          <t>IMG_7066.HEIC</t>
        </is>
      </c>
    </row>
    <row r="485">
      <c r="A485" s="0" t="n">
        <v>480</v>
      </c>
      <c r="B485" s="6" t="inlineStr">
        <is>
          <t>DOVE</t>
        </is>
      </c>
      <c r="C485" s="6" t="inlineStr">
        <is>
          <t>DOVE Beauty Nourishing Twin Pack (variant partly obscured)</t>
        </is>
      </c>
      <c r="D485" s="0" t="n">
        <v>69</v>
      </c>
      <c r="E485" s="7" t="inlineStr">
        <is>
          <t>Groceries</t>
        </is>
      </c>
      <c r="F485" s="7" t="inlineStr">
        <is>
          <t>Toiletries</t>
        </is>
      </c>
      <c r="G485" s="0" t="inlineStr">
        <is>
          <t>PACK</t>
        </is>
      </c>
      <c r="H485" s="0" t="n"/>
      <c r="I485" s="7">
        <f>IF(H485="","",VALUE(LEFT(H485,FIND("/",H485)-1))/VALUE(MID(H485,FIND("/",H485)+1,99)))</f>
        <v/>
      </c>
      <c r="J485" s="0" t="inlineStr">
        <is>
          <t>Dove multipack shelf; free-gift banner visible</t>
        </is>
      </c>
      <c r="K485" s="0" t="inlineStr">
        <is>
          <t>https://www.pns.hk/en/dove-lux-body-wash/c/dovebath</t>
        </is>
      </c>
      <c r="L485" s="0" t="inlineStr">
        <is>
          <t>IMG_7066.HEIC</t>
        </is>
      </c>
    </row>
    <row r="486">
      <c r="A486" s="0" t="n">
        <v>481</v>
      </c>
      <c r="B486" s="6" t="inlineStr">
        <is>
          <t>DOVE</t>
        </is>
      </c>
      <c r="C486" s="6" t="inlineStr">
        <is>
          <t>DOVE Beauty Nourishing + Peach Twin Pack (variant inferred)</t>
        </is>
      </c>
      <c r="D486" s="0" t="n">
        <v>69</v>
      </c>
      <c r="E486" s="7" t="inlineStr">
        <is>
          <t>Groceries</t>
        </is>
      </c>
      <c r="F486" s="7" t="inlineStr">
        <is>
          <t>Toiletries</t>
        </is>
      </c>
      <c r="G486" s="0" t="inlineStr">
        <is>
          <t>PACK</t>
        </is>
      </c>
      <c r="H486" s="0" t="n"/>
      <c r="I486" s="7">
        <f>IF(H486="","",VALUE(LEFT(H486,FIND("/",H486)-1))/VALUE(MID(H486,FIND("/",H486)+1,99)))</f>
        <v/>
      </c>
      <c r="J486" s="0" t="inlineStr">
        <is>
          <t>Peach-coloured Dove multipack; exact printed bundle name is partly obscured</t>
        </is>
      </c>
      <c r="K486" s="0" t="inlineStr">
        <is>
          <t>https://www.pns.hk/en/dove-lux-body-wash/c/dovebath</t>
        </is>
      </c>
      <c r="L486" s="0" t="inlineStr">
        <is>
          <t>IMG_7066.HEIC</t>
        </is>
      </c>
    </row>
    <row r="487">
      <c r="A487" s="0" t="n">
        <v>482</v>
      </c>
      <c r="B487" s="6" t="inlineStr">
        <is>
          <t>DOVE</t>
        </is>
      </c>
      <c r="C487" s="6" t="inlineStr">
        <is>
          <t>DOVE Beauty Nourishing + Lavender Twin Pack</t>
        </is>
      </c>
      <c r="D487" s="0" t="n">
        <v>69</v>
      </c>
      <c r="E487" s="7" t="inlineStr">
        <is>
          <t>Groceries</t>
        </is>
      </c>
      <c r="F487" s="7" t="inlineStr">
        <is>
          <t>Toiletries</t>
        </is>
      </c>
      <c r="G487" s="0" t="inlineStr">
        <is>
          <t>PACK</t>
        </is>
      </c>
      <c r="H487" s="0" t="n"/>
      <c r="I487" s="7">
        <f>IF(H487="","",VALUE(LEFT(H487,FIND("/",H487)-1))/VALUE(MID(H487,FIND("/",H487)+1,99)))</f>
        <v/>
      </c>
      <c r="J487" s="0" t="n"/>
      <c r="K487" s="0" t="inlineStr">
        <is>
          <t>https://www.pns.hk/en/dove-lux-body-wash/c/dovebath</t>
        </is>
      </c>
      <c r="L487" s="0" t="inlineStr">
        <is>
          <t>IMG_7066.HEIC</t>
        </is>
      </c>
    </row>
    <row r="488">
      <c r="A488" s="0" t="n">
        <v>483</v>
      </c>
      <c r="B488" s="6" t="inlineStr">
        <is>
          <t>DOVE</t>
        </is>
      </c>
      <c r="C488" s="6" t="inlineStr">
        <is>
          <t>DOVE Beauty Nourishing + Almond Twin Pack (variant inferred)</t>
        </is>
      </c>
      <c r="D488" s="0" t="n">
        <v>69</v>
      </c>
      <c r="E488" s="7" t="inlineStr">
        <is>
          <t>Groceries</t>
        </is>
      </c>
      <c r="F488" s="7" t="inlineStr">
        <is>
          <t>Toiletries</t>
        </is>
      </c>
      <c r="G488" s="0" t="inlineStr">
        <is>
          <t>PACK</t>
        </is>
      </c>
      <c r="H488" s="0" t="n"/>
      <c r="I488" s="7">
        <f>IF(H488="","",VALUE(LEFT(H488,FIND("/",H488)-1))/VALUE(MID(H488,FIND("/",H488)+1,99)))</f>
        <v/>
      </c>
      <c r="J488" s="0" t="inlineStr">
        <is>
          <t>Brown/almond imagery visible; exact printed bundle name is partly obscured</t>
        </is>
      </c>
      <c r="K488" s="0" t="inlineStr">
        <is>
          <t>https://www.pns.hk/en/dove-lux-body-wash/c/dovebath</t>
        </is>
      </c>
      <c r="L488" s="0" t="inlineStr">
        <is>
          <t>IMG_7066.HEIC</t>
        </is>
      </c>
    </row>
    <row r="489">
      <c r="A489" s="0" t="n">
        <v>484</v>
      </c>
      <c r="B489" s="6" t="inlineStr">
        <is>
          <t>Unknown</t>
        </is>
      </c>
      <c r="C489" s="6" t="inlineStr">
        <is>
          <t>Unknown Dove multipack (rear/variant unclear)</t>
        </is>
      </c>
      <c r="D489" s="0" t="n">
        <v>69</v>
      </c>
      <c r="E489" s="7" t="inlineStr">
        <is>
          <t>Groceries</t>
        </is>
      </c>
      <c r="F489" s="7" t="inlineStr">
        <is>
          <t>Toiletries</t>
        </is>
      </c>
      <c r="G489" s="0" t="inlineStr">
        <is>
          <t>PACK</t>
        </is>
      </c>
      <c r="H489" s="0" t="n"/>
      <c r="I489" s="7">
        <f>IF(H489="","",VALUE(LEFT(H489,FIND("/",H489)-1))/VALUE(MID(H489,FIND("/",H489)+1,99)))</f>
        <v/>
      </c>
      <c r="J489" s="0" t="inlineStr">
        <is>
          <t>Back-facing Dove pack is visible but the variant cannot be read</t>
        </is>
      </c>
      <c r="K489" s="0" t="str"/>
      <c r="L489" s="0" t="inlineStr">
        <is>
          <t>IMG_7066.HEIC</t>
        </is>
      </c>
    </row>
    <row r="490">
      <c r="A490" s="0" t="n">
        <v>485</v>
      </c>
      <c r="B490" s="6" t="inlineStr">
        <is>
          <t>DETTOL</t>
        </is>
      </c>
      <c r="C490" s="6" t="inlineStr">
        <is>
          <t>DETTOL Profresh Green Tea &amp; Jasmine Body Wash Twin Pack</t>
        </is>
      </c>
      <c r="D490" s="0" t="n">
        <v>89</v>
      </c>
      <c r="E490" s="7" t="inlineStr">
        <is>
          <t>Groceries</t>
        </is>
      </c>
      <c r="F490" s="7" t="inlineStr">
        <is>
          <t>Toiletries</t>
        </is>
      </c>
      <c r="G490" s="0" t="inlineStr">
        <is>
          <t>2X950G</t>
        </is>
      </c>
      <c r="H490" s="0" t="n"/>
      <c r="I490" s="7">
        <f>IF(H490="","",VALUE(LEFT(H490,FIND("/",H490)-1))/VALUE(MID(H490,FIND("/",H490)+1,99)))</f>
        <v/>
      </c>
      <c r="J490" s="0" t="inlineStr">
        <is>
          <t>Discounted; OP = 100.0</t>
        </is>
      </c>
      <c r="K490" s="0" t="inlineStr">
        <is>
          <t>https://www.pns.hk/en/dettol-liquid-bath-and-handwash-range-products-promo/c/dettolpc</t>
        </is>
      </c>
      <c r="L490" s="0" t="inlineStr">
        <is>
          <t>IMG_7066.HEIC</t>
        </is>
      </c>
    </row>
    <row r="491">
      <c r="A491" s="0" t="n">
        <v>486</v>
      </c>
      <c r="B491" s="6" t="inlineStr">
        <is>
          <t>DETTOL</t>
        </is>
      </c>
      <c r="C491" s="6" t="inlineStr">
        <is>
          <t>DETTOL Profresh Citrus Fresh &amp; Orange Blossom Body Wash Twin Pack</t>
        </is>
      </c>
      <c r="D491" s="0" t="n">
        <v>89</v>
      </c>
      <c r="E491" s="7" t="inlineStr">
        <is>
          <t>Groceries</t>
        </is>
      </c>
      <c r="F491" s="7" t="inlineStr">
        <is>
          <t>Toiletries</t>
        </is>
      </c>
      <c r="G491" s="0" t="inlineStr">
        <is>
          <t>2X900G</t>
        </is>
      </c>
      <c r="H491" s="0" t="n"/>
      <c r="I491" s="7">
        <f>IF(H491="","",VALUE(LEFT(H491,FIND("/",H491)-1))/VALUE(MID(H491,FIND("/",H491)+1,99)))</f>
        <v/>
      </c>
      <c r="J491" s="0" t="inlineStr">
        <is>
          <t>Discounted; OP = 100.0</t>
        </is>
      </c>
      <c r="K491" s="0" t="inlineStr">
        <is>
          <t>https://www.pns.hk/en/dettol-liquid-bath-and-handwash-range-products-promo/c/dettolpc</t>
        </is>
      </c>
      <c r="L491" s="0" t="inlineStr">
        <is>
          <t>IMG_7066.HEIC</t>
        </is>
      </c>
    </row>
    <row r="492">
      <c r="A492" s="0" t="n">
        <v>487</v>
      </c>
      <c r="B492" s="6" t="inlineStr">
        <is>
          <t>DETTOL</t>
        </is>
      </c>
      <c r="C492" s="6" t="inlineStr">
        <is>
          <t>DETTOL Proskin Moisturising Aloe Vera &amp; Milky Smooth Shower Cream Twin Pack</t>
        </is>
      </c>
      <c r="D492" s="0" t="n">
        <v>89</v>
      </c>
      <c r="E492" s="7" t="inlineStr">
        <is>
          <t>Groceries</t>
        </is>
      </c>
      <c r="F492" s="7" t="inlineStr">
        <is>
          <t>Toiletries</t>
        </is>
      </c>
      <c r="G492" s="0" t="inlineStr">
        <is>
          <t>2X950G</t>
        </is>
      </c>
      <c r="H492" s="0" t="n"/>
      <c r="I492" s="7">
        <f>IF(H492="","",VALUE(LEFT(H492,FIND("/",H492)-1))/VALUE(MID(H492,FIND("/",H492)+1,99)))</f>
        <v/>
      </c>
      <c r="J492" s="0" t="inlineStr">
        <is>
          <t>Discounted; OP = 100.0</t>
        </is>
      </c>
      <c r="K492" s="0" t="inlineStr">
        <is>
          <t>https://www.pns.hk/en/dettol-liquid-bath-and-handwash-range-products-promo/c/dettolpc</t>
        </is>
      </c>
      <c r="L492" s="0" t="inlineStr">
        <is>
          <t>IMG_7066.HEIC</t>
        </is>
      </c>
    </row>
    <row r="493">
      <c r="A493" s="0" t="n">
        <v>488</v>
      </c>
      <c r="B493" s="6" t="inlineStr">
        <is>
          <t>DETTOL</t>
        </is>
      </c>
      <c r="C493" s="6" t="inlineStr">
        <is>
          <t>DETTOL Profresh Refreshing Rose &amp; White Musk Body Wash Twin Pack</t>
        </is>
      </c>
      <c r="D493" s="0" t="n">
        <v>89</v>
      </c>
      <c r="E493" s="7" t="inlineStr">
        <is>
          <t>Groceries</t>
        </is>
      </c>
      <c r="F493" s="7" t="inlineStr">
        <is>
          <t>Toiletries</t>
        </is>
      </c>
      <c r="G493" s="0" t="inlineStr">
        <is>
          <t>2X900G</t>
        </is>
      </c>
      <c r="H493" s="0" t="n"/>
      <c r="I493" s="7">
        <f>IF(H493="","",VALUE(LEFT(H493,FIND("/",H493)-1))/VALUE(MID(H493,FIND("/",H493)+1,99)))</f>
        <v/>
      </c>
      <c r="J493" s="0" t="inlineStr">
        <is>
          <t>Discounted; OP = 100.0</t>
        </is>
      </c>
      <c r="K493" s="0" t="inlineStr">
        <is>
          <t>https://www.pns.hk/en/dettol-liquid-bath-and-handwash-range-products-promo/c/dettolpc</t>
        </is>
      </c>
      <c r="L493" s="0" t="inlineStr">
        <is>
          <t>IMG_7066.HEIC</t>
        </is>
      </c>
    </row>
    <row r="494">
      <c r="A494" s="0" t="n">
        <v>489</v>
      </c>
      <c r="B494" s="6" t="inlineStr">
        <is>
          <t>DETTOL</t>
        </is>
      </c>
      <c r="C494" s="6" t="inlineStr">
        <is>
          <t>DETTOL Shower Foam Twin Pack (cool)</t>
        </is>
      </c>
      <c r="D494" s="0" t="n">
        <v>89</v>
      </c>
      <c r="E494" s="7" t="inlineStr">
        <is>
          <t>Groceries</t>
        </is>
      </c>
      <c r="F494" s="7" t="inlineStr">
        <is>
          <t>Toiletries</t>
        </is>
      </c>
      <c r="G494" s="0" t="inlineStr">
        <is>
          <t>2X950G</t>
        </is>
      </c>
      <c r="H494" s="0" t="n"/>
      <c r="I494" s="7">
        <f>IF(H494="","",VALUE(LEFT(H494,FIND("/",H494)-1))/VALUE(MID(H494,FIND("/",H494)+1,99)))</f>
        <v/>
      </c>
      <c r="J494" s="0" t="inlineStr">
        <is>
          <t>Blue cool variant; exact shelf label is partly obscured</t>
        </is>
      </c>
      <c r="K494" s="0" t="inlineStr">
        <is>
          <t>https://www.pns.hk/en/dettol-fresh-active-cool-lasting-fresh-shower-foam-range/c/dettolredemption</t>
        </is>
      </c>
      <c r="L494" s="0" t="inlineStr">
        <is>
          <t>IMG_7066.HEIC</t>
        </is>
      </c>
    </row>
    <row r="495">
      <c r="A495" s="0" t="n">
        <v>490</v>
      </c>
      <c r="B495" s="6" t="inlineStr">
        <is>
          <t>JMELLA</t>
        </is>
      </c>
      <c r="C495" s="6" t="inlineStr">
        <is>
          <t>JMELLA body wash 500ml (variant unclear)</t>
        </is>
      </c>
      <c r="D495" s="0" t="n">
        <v>59</v>
      </c>
      <c r="E495" s="7" t="inlineStr">
        <is>
          <t>Groceries</t>
        </is>
      </c>
      <c r="F495" s="7" t="inlineStr">
        <is>
          <t>Toiletries</t>
        </is>
      </c>
      <c r="G495" s="0" t="inlineStr">
        <is>
          <t>500ML</t>
        </is>
      </c>
      <c r="H495" s="0" t="n"/>
      <c r="I495" s="7">
        <f>IF(H495="","",VALUE(LEFT(H495,FIND("/",H495)-1))/VALUE(MID(H495,FIND("/",H495)+1,99)))</f>
        <v/>
      </c>
      <c r="J495" s="0" t="inlineStr">
        <is>
          <t>Two white/red JMELLA facings visible; fragrance variant unreadable</t>
        </is>
      </c>
      <c r="K495" s="0" t="inlineStr">
        <is>
          <t>https://www.watsons.com.hk/en/all-brands/list/110131/jmella</t>
        </is>
      </c>
      <c r="L495" s="0" t="inlineStr">
        <is>
          <t>IMG_7066.HEIC</t>
        </is>
      </c>
    </row>
    <row r="496">
      <c r="A496" s="0" t="n">
        <v>491</v>
      </c>
      <c r="B496" s="6" t="inlineStr">
        <is>
          <t>OPAL</t>
        </is>
      </c>
      <c r="C496" s="6" t="inlineStr">
        <is>
          <t>OPAL Moisturising Anti-bacterial Shower Foam</t>
        </is>
      </c>
      <c r="D496" s="0" t="n">
        <v>86.5</v>
      </c>
      <c r="E496" s="7" t="inlineStr">
        <is>
          <t>Groceries</t>
        </is>
      </c>
      <c r="F496" s="7" t="inlineStr">
        <is>
          <t>Toiletries</t>
        </is>
      </c>
      <c r="G496" s="0" t="inlineStr">
        <is>
          <t>PACK</t>
        </is>
      </c>
      <c r="H496" s="0" t="n"/>
      <c r="I496" s="7">
        <f>IF(H496="","",VALUE(LEFT(H496,FIND("/",H496)-1))/VALUE(MID(H496,FIND("/",H496)+1,99)))</f>
        <v/>
      </c>
      <c r="J496" s="0" t="n"/>
      <c r="K496" s="0" t="inlineStr">
        <is>
          <t>https://www.pns.hk/en/moisturising-anti-bacterial-shower-foam/p/BP_395353</t>
        </is>
      </c>
      <c r="L496" s="0" t="inlineStr">
        <is>
          <t>IMG_7066.HEIC</t>
        </is>
      </c>
    </row>
    <row r="497">
      <c r="A497" s="0" t="n">
        <v>492</v>
      </c>
      <c r="B497" s="6" t="inlineStr">
        <is>
          <t>Unknown</t>
        </is>
      </c>
      <c r="C497" s="6" t="inlineStr">
        <is>
          <t>Unknown white/green personal-care multipack (20-marked)</t>
        </is>
      </c>
      <c r="D497" s="0" t="n"/>
      <c r="E497" s="7" t="inlineStr">
        <is>
          <t>Groceries</t>
        </is>
      </c>
      <c r="F497" s="7" t="inlineStr">
        <is>
          <t>Toiletries</t>
        </is>
      </c>
      <c r="G497" s="0" t="inlineStr">
        <is>
          <t>Unknown</t>
        </is>
      </c>
      <c r="H497" s="0" t="n"/>
      <c r="I497" s="7">
        <f>IF(H497="","",VALUE(LEFT(H497,FIND("/",H497)-1))/VALUE(MID(H497,FIND("/",H497)+1,99)))</f>
        <v/>
      </c>
      <c r="J497" s="0" t="inlineStr">
        <is>
          <t>Lowest shelf; product label and price are not readable</t>
        </is>
      </c>
      <c r="K497" s="0" t="str"/>
      <c r="L497" s="0" t="inlineStr">
        <is>
          <t>IMG_7066.HEIC</t>
        </is>
      </c>
    </row>
    <row r="498">
      <c r="A498" s="0" t="n">
        <v>493</v>
      </c>
      <c r="B498" s="6" t="inlineStr">
        <is>
          <t>Unknown</t>
        </is>
      </c>
      <c r="C498" s="6" t="inlineStr">
        <is>
          <t>Unknown white/green personal-care multipack (second variant)</t>
        </is>
      </c>
      <c r="D498" s="0" t="n"/>
      <c r="E498" s="7" t="inlineStr">
        <is>
          <t>Groceries</t>
        </is>
      </c>
      <c r="F498" s="7" t="inlineStr">
        <is>
          <t>Toiletries</t>
        </is>
      </c>
      <c r="G498" s="0" t="inlineStr">
        <is>
          <t>Unknown</t>
        </is>
      </c>
      <c r="H498" s="0" t="n"/>
      <c r="I498" s="7">
        <f>IF(H498="","",VALUE(LEFT(H498,FIND("/",H498)-1))/VALUE(MID(H498,FIND("/",H498)+1,99)))</f>
        <v/>
      </c>
      <c r="J498" s="0" t="inlineStr">
        <is>
          <t>Lowest shelf; product label and price are not readable</t>
        </is>
      </c>
      <c r="K498" s="0" t="str"/>
      <c r="L498" s="0" t="inlineStr">
        <is>
          <t>IMG_7066.HEIC</t>
        </is>
      </c>
    </row>
    <row r="499">
      <c r="A499" s="0" t="n">
        <v>494</v>
      </c>
      <c r="B499" s="6" t="inlineStr">
        <is>
          <t>LUX</t>
        </is>
      </c>
      <c r="C499" s="6" t="inlineStr">
        <is>
          <t>LUX Shower Gel Soft Kiss (size/pack inferred)</t>
        </is>
      </c>
      <c r="D499" s="0" t="n">
        <v>40</v>
      </c>
      <c r="E499" s="7" t="inlineStr">
        <is>
          <t>Groceries</t>
        </is>
      </c>
      <c r="F499" s="7" t="inlineStr">
        <is>
          <t>Toiletries</t>
        </is>
      </c>
      <c r="G499" s="0" t="inlineStr">
        <is>
          <t>Unknown</t>
        </is>
      </c>
      <c r="H499" s="0" t="n"/>
      <c r="I499" s="7">
        <f>IF(H499="","",VALUE(LEFT(H499,FIND("/",H499)-1))/VALUE(MID(H499,FIND("/",H499)+1,99)))</f>
        <v/>
      </c>
      <c r="J499" s="0" t="inlineStr">
        <is>
          <t>Pink LUX bottle; exact size is not readable</t>
        </is>
      </c>
      <c r="K499" s="0" t="inlineStr">
        <is>
          <t>https://www.pns.hk/en/all-brands/b/112751/lux</t>
        </is>
      </c>
      <c r="L499" s="0" t="inlineStr">
        <is>
          <t>IMG_7066.HEIC</t>
        </is>
      </c>
    </row>
    <row r="500">
      <c r="A500" s="0" t="n">
        <v>495</v>
      </c>
      <c r="B500" s="6" t="inlineStr">
        <is>
          <t>Unknown</t>
        </is>
      </c>
      <c r="C500" s="6" t="inlineStr">
        <is>
          <t>Unknown white/red body-wash product</t>
        </is>
      </c>
      <c r="D500" s="0" t="n">
        <v>40</v>
      </c>
      <c r="E500" s="7" t="inlineStr">
        <is>
          <t>Groceries</t>
        </is>
      </c>
      <c r="F500" s="7" t="inlineStr">
        <is>
          <t>Toiletries</t>
        </is>
      </c>
      <c r="G500" s="0" t="inlineStr">
        <is>
          <t>Unknown</t>
        </is>
      </c>
      <c r="H500" s="0" t="n"/>
      <c r="I500" s="7">
        <f>IF(H500="","",VALUE(LEFT(H500,FIND("/",H500)-1))/VALUE(MID(H500,FIND("/",H500)+1,99)))</f>
        <v/>
      </c>
      <c r="J500" s="0" t="inlineStr">
        <is>
          <t>Brand and exact variant are unreadable</t>
        </is>
      </c>
      <c r="K500" s="0" t="str"/>
      <c r="L500" s="0" t="inlineStr">
        <is>
          <t>IMG_7066.HEIC</t>
        </is>
      </c>
    </row>
    <row r="501">
      <c r="A501" s="0" t="n">
        <v>496</v>
      </c>
      <c r="B501" s="6" t="inlineStr">
        <is>
          <t>Unknown</t>
        </is>
      </c>
      <c r="C501" s="6" t="inlineStr">
        <is>
          <t>Unknown black body-wash product</t>
        </is>
      </c>
      <c r="D501" s="0" t="n"/>
      <c r="E501" s="7" t="inlineStr">
        <is>
          <t>Groceries</t>
        </is>
      </c>
      <c r="F501" s="7" t="inlineStr">
        <is>
          <t>Toiletries</t>
        </is>
      </c>
      <c r="G501" s="0" t="inlineStr">
        <is>
          <t>Unknown</t>
        </is>
      </c>
      <c r="H501" s="0" t="n"/>
      <c r="I501" s="7">
        <f>IF(H501="","",VALUE(LEFT(H501,FIND("/",H501)-1))/VALUE(MID(H501,FIND("/",H501)+1,99)))</f>
        <v/>
      </c>
      <c r="J501" s="0" t="inlineStr">
        <is>
          <t>Two black facings are visible; price/identity unreadable</t>
        </is>
      </c>
      <c r="K501" s="0" t="str"/>
      <c r="L501" s="0" t="inlineStr">
        <is>
          <t>IMG_7066.HEIC</t>
        </is>
      </c>
    </row>
    <row r="502">
      <c r="A502" s="0" t="n">
        <v>497</v>
      </c>
      <c r="B502" s="6" t="inlineStr">
        <is>
          <t>Unknown</t>
        </is>
      </c>
      <c r="C502" s="6" t="inlineStr">
        <is>
          <t>Unknown green/white personal-care product</t>
        </is>
      </c>
      <c r="D502" s="0" t="n">
        <v>42</v>
      </c>
      <c r="E502" s="7" t="inlineStr">
        <is>
          <t>Groceries</t>
        </is>
      </c>
      <c r="F502" s="7" t="inlineStr">
        <is>
          <t>Toiletries</t>
        </is>
      </c>
      <c r="G502" s="0" t="inlineStr">
        <is>
          <t>Unknown</t>
        </is>
      </c>
      <c r="H502" s="0" t="n"/>
      <c r="I502" s="7">
        <f>IF(H502="","",VALUE(LEFT(H502,FIND("/",H502)-1))/VALUE(MID(H502,FIND("/",H502)+1,99)))</f>
        <v/>
      </c>
      <c r="J502" s="0" t="inlineStr">
        <is>
          <t>Brand and exact variant are unreadable</t>
        </is>
      </c>
      <c r="K502" s="0" t="str"/>
      <c r="L502" s="0" t="inlineStr">
        <is>
          <t>IMG_7066.HEIC</t>
        </is>
      </c>
    </row>
    <row r="503">
      <c r="A503" s="0" t="n">
        <v>498</v>
      </c>
      <c r="B503" s="6" t="inlineStr">
        <is>
          <t>Unknown</t>
        </is>
      </c>
      <c r="C503" s="6" t="inlineStr">
        <is>
          <t>Unknown white/orange personal-care product (right-edge partial)</t>
        </is>
      </c>
      <c r="D503" s="0" t="n">
        <v>59</v>
      </c>
      <c r="E503" s="7" t="inlineStr">
        <is>
          <t>Groceries</t>
        </is>
      </c>
      <c r="F503" s="7" t="inlineStr">
        <is>
          <t>Toiletries</t>
        </is>
      </c>
      <c r="G503" s="0" t="inlineStr">
        <is>
          <t>Unknown</t>
        </is>
      </c>
      <c r="H503" s="0" t="n"/>
      <c r="I503" s="7">
        <f>IF(H503="","",VALUE(LEFT(H503,FIND("/",H503)-1))/VALUE(MID(H503,FIND("/",H503)+1,99)))</f>
        <v/>
      </c>
      <c r="J503" s="0" t="inlineStr">
        <is>
          <t>Only a partial facing and price tag are visible</t>
        </is>
      </c>
      <c r="K503" s="0" t="str"/>
      <c r="L503" s="0" t="inlineStr">
        <is>
          <t>IMG_7066.HEIC</t>
        </is>
      </c>
    </row>
    <row r="504">
      <c r="A504" s="0" t="n">
        <v>499</v>
      </c>
      <c r="B504" s="6" t="inlineStr">
        <is>
          <t>Dreyer's</t>
        </is>
      </c>
      <c r="C504" s="6" t="inlineStr">
        <is>
          <t>Dreyer's Family ice cream tub, flavor Unknown</t>
        </is>
      </c>
      <c r="D504" s="0" t="n">
        <v>60</v>
      </c>
      <c r="E504" s="7" t="inlineStr">
        <is>
          <t>Groceries</t>
        </is>
      </c>
      <c r="F504" s="7" t="inlineStr">
        <is>
          <t>Ice Cream</t>
        </is>
      </c>
      <c r="G504" s="0" t="inlineStr">
        <is>
          <t>750ML</t>
        </is>
      </c>
      <c r="H504" s="0" t="n"/>
      <c r="I504" s="7">
        <f>IF(H504="","",VALUE(LEFT(H504,FIND("/",H504)-1))/VALUE(MID(H504,FIND("/",H504)+1,99)))</f>
        <v/>
      </c>
      <c r="J504" s="0" t="inlineStr">
        <is>
          <t>Multiple identical facings consolidated; flavor/front label partly obscured; shelf tag reads about $60.0.</t>
        </is>
      </c>
      <c r="K504" s="0" t="inlineStr">
        <is>
          <t>https://www.nestle.com.hk/zh/brands/icecream/dreyers</t>
        </is>
      </c>
      <c r="L504" s="0" t="inlineStr">
        <is>
          <t>IMG_7067.HEIC</t>
        </is>
      </c>
    </row>
    <row r="505">
      <c r="A505" s="0" t="n">
        <v>500</v>
      </c>
      <c r="B505" s="6" t="inlineStr">
        <is>
          <t>Dreyer's</t>
        </is>
      </c>
      <c r="C505" s="6" t="inlineStr">
        <is>
          <t>Dreyer's Family ice cream tub, chocolate/vanilla flavor Unknown</t>
        </is>
      </c>
      <c r="D505" s="0" t="n">
        <v>60</v>
      </c>
      <c r="E505" s="7" t="inlineStr">
        <is>
          <t>Groceries</t>
        </is>
      </c>
      <c r="F505" s="7" t="inlineStr">
        <is>
          <t>Ice Cream</t>
        </is>
      </c>
      <c r="G505" s="0" t="inlineStr">
        <is>
          <t>750ML</t>
        </is>
      </c>
      <c r="H505" s="0" t="n"/>
      <c r="I505" s="7">
        <f>IF(H505="","",VALUE(LEFT(H505,FIND("/",H505)-1))/VALUE(MID(H505,FIND("/",H505)+1,99)))</f>
        <v/>
      </c>
      <c r="J505" s="0" t="inlineStr">
        <is>
          <t>Flavor inferred from visible artwork only; not fully legible.</t>
        </is>
      </c>
      <c r="K505" s="0" t="inlineStr">
        <is>
          <t>https://www.nestle.com.hk/zh/brands/icecream/dreyers</t>
        </is>
      </c>
      <c r="L505" s="0" t="inlineStr">
        <is>
          <t>IMG_7067.HEIC</t>
        </is>
      </c>
    </row>
    <row r="506">
      <c r="A506" s="0" t="n">
        <v>501</v>
      </c>
      <c r="B506" s="6" t="inlineStr">
        <is>
          <t>Dreyer's</t>
        </is>
      </c>
      <c r="C506" s="6" t="inlineStr">
        <is>
          <t>Dreyer's frozen novelty multipack, product Unknown</t>
        </is>
      </c>
      <c r="D506" s="0" t="n"/>
      <c r="E506" s="7" t="inlineStr">
        <is>
          <t>Groceries</t>
        </is>
      </c>
      <c r="F506" s="7" t="inlineStr">
        <is>
          <t>Ice Cream</t>
        </is>
      </c>
      <c r="G506" s="0" t="inlineStr">
        <is>
          <t>Unknown</t>
        </is>
      </c>
      <c r="H506" s="0" t="n"/>
      <c r="I506" s="7">
        <f>IF(H506="","",VALUE(LEFT(H506,FIND("/",H506)-1))/VALUE(MID(H506,FIND("/",H506)+1,99)))</f>
        <v/>
      </c>
      <c r="J506" s="0" t="inlineStr">
        <is>
          <t>Front packaging visible behind promotional card; exact variant and price unreadable.</t>
        </is>
      </c>
      <c r="K506" s="0" t="inlineStr">
        <is>
          <t>https://www.nestle.com.hk/zh/brands/icecream/dreyers</t>
        </is>
      </c>
      <c r="L506" s="0" t="inlineStr">
        <is>
          <t>IMG_7067.HEIC</t>
        </is>
      </c>
    </row>
    <row r="507">
      <c r="A507" s="0" t="n">
        <v>502</v>
      </c>
      <c r="B507" s="6" t="inlineStr">
        <is>
          <t>Oreo</t>
        </is>
      </c>
      <c r="C507" s="6" t="inlineStr">
        <is>
          <t>Oreo frozen dessert/ice cream product, variant Unknown</t>
        </is>
      </c>
      <c r="D507" s="0" t="n">
        <v>45</v>
      </c>
      <c r="E507" s="7" t="inlineStr">
        <is>
          <t>Groceries</t>
        </is>
      </c>
      <c r="F507" s="7" t="inlineStr">
        <is>
          <t>Ice Cream</t>
        </is>
      </c>
      <c r="G507" s="0" t="inlineStr">
        <is>
          <t>Unknown</t>
        </is>
      </c>
      <c r="H507" s="0" t="n"/>
      <c r="I507" s="7">
        <f>IF(H507="","",VALUE(LEFT(H507,FIND("/",H507)-1))/VALUE(MID(H507,FIND("/",H507)+1,99)))</f>
        <v/>
      </c>
      <c r="J507" s="0" t="inlineStr">
        <is>
          <t>Partial adjacent freezer facing at left; price tag appears about $45.0; exact pack size unreadable.</t>
        </is>
      </c>
      <c r="K507" s="0" t="inlineStr">
        <is>
          <t>https://www.pns.hk/en/all-brands/b/115211</t>
        </is>
      </c>
      <c r="L507" s="0" t="inlineStr">
        <is>
          <t>IMG_7067.HEIC</t>
        </is>
      </c>
    </row>
    <row r="508">
      <c r="A508" s="0" t="n">
        <v>503</v>
      </c>
      <c r="B508" s="6" t="inlineStr">
        <is>
          <t>Drumstick</t>
        </is>
      </c>
      <c r="C508" s="6" t="inlineStr">
        <is>
          <t>Drumstick frozen cone multipack, variant Unknown</t>
        </is>
      </c>
      <c r="D508" s="0" t="n"/>
      <c r="E508" s="7" t="inlineStr">
        <is>
          <t>Groceries</t>
        </is>
      </c>
      <c r="F508" s="7" t="inlineStr">
        <is>
          <t>Ice Cream</t>
        </is>
      </c>
      <c r="G508" s="0" t="inlineStr">
        <is>
          <t>Unknown</t>
        </is>
      </c>
      <c r="H508" s="0" t="n"/>
      <c r="I508" s="7">
        <f>IF(H508="","",VALUE(LEFT(H508,FIND("/",H508)-1))/VALUE(MID(H508,FIND("/",H508)+1,99)))</f>
        <v/>
      </c>
      <c r="J508" s="0" t="inlineStr">
        <is>
          <t>Partial adjacent facings at left; exact variant and price unreadable.</t>
        </is>
      </c>
      <c r="K508" s="0" t="inlineStr">
        <is>
          <t>https://www.pns.hk/en/food-beverages/ice-cream-cone-mochi/c/04081073</t>
        </is>
      </c>
      <c r="L508" s="0" t="inlineStr">
        <is>
          <t>IMG_7067.HEIC</t>
        </is>
      </c>
    </row>
    <row r="509">
      <c r="A509" s="0" t="n">
        <v>504</v>
      </c>
      <c r="B509" s="6" t="inlineStr">
        <is>
          <t>Unknown</t>
        </is>
      </c>
      <c r="C509" s="6" t="inlineStr">
        <is>
          <t>Unknown frozen dessert facings, multiple variants</t>
        </is>
      </c>
      <c r="D509" s="0" t="n"/>
      <c r="E509" s="7" t="inlineStr">
        <is>
          <t>Groceries</t>
        </is>
      </c>
      <c r="F509" s="7" t="inlineStr">
        <is>
          <t>Ice Cream</t>
        </is>
      </c>
      <c r="G509" s="0" t="inlineStr">
        <is>
          <t>Unknown</t>
        </is>
      </c>
      <c r="H509" s="0" t="n"/>
      <c r="I509" s="7">
        <f>IF(H509="","",VALUE(LEFT(H509,FIND("/",H509)-1))/VALUE(MID(H509,FIND("/",H509)+1,99)))</f>
        <v/>
      </c>
      <c r="J509" s="0" t="inlineStr">
        <is>
          <t>Right-side neighboring freezer contains several visible but unreadable products; grouped only where identical branding/product cannot be separated.</t>
        </is>
      </c>
      <c r="K509" s="0" t="str"/>
      <c r="L509" s="0" t="inlineStr">
        <is>
          <t>IMG_7067.HEIC</t>
        </is>
      </c>
    </row>
    <row r="510">
      <c r="A510" s="0" t="n">
        <v>505</v>
      </c>
      <c r="B510" s="6" t="inlineStr">
        <is>
          <t>Dreyer's</t>
        </is>
      </c>
      <c r="C510" s="6" t="inlineStr">
        <is>
          <t>Dreyer's Family ice cream tub, green flavor Unknown</t>
        </is>
      </c>
      <c r="D510" s="0" t="n">
        <v>60</v>
      </c>
      <c r="E510" s="7" t="inlineStr">
        <is>
          <t>Groceries</t>
        </is>
      </c>
      <c r="F510" s="7" t="inlineStr">
        <is>
          <t>Ice Cream</t>
        </is>
      </c>
      <c r="G510" s="0" t="inlineStr">
        <is>
          <t>750ML</t>
        </is>
      </c>
      <c r="H510" s="0" t="n"/>
      <c r="I510" s="7">
        <f>IF(H510="","",VALUE(LEFT(H510,FIND("/",H510)-1))/VALUE(MID(H510,FIND("/",H510)+1,99)))</f>
        <v/>
      </c>
      <c r="J510" s="0" t="inlineStr">
        <is>
          <t>Front artwork is green; exact flavor text unreadable; repeated facings consolidated.</t>
        </is>
      </c>
      <c r="K510" s="0" t="inlineStr">
        <is>
          <t>https://www.nestle.com.hk/zh/brands/icecream/dreyers</t>
        </is>
      </c>
      <c r="L510" s="0" t="inlineStr">
        <is>
          <t>IMG_7068.HEIC</t>
        </is>
      </c>
    </row>
    <row r="511">
      <c r="A511" s="0" t="n">
        <v>506</v>
      </c>
      <c r="B511" s="6" t="inlineStr">
        <is>
          <t>Dreyer's</t>
        </is>
      </c>
      <c r="C511" s="6" t="inlineStr">
        <is>
          <t>Dreyer's Family ice cream tub, cookies-and-cream/chocolate flavor Unknown</t>
        </is>
      </c>
      <c r="D511" s="0" t="n">
        <v>60</v>
      </c>
      <c r="E511" s="7" t="inlineStr">
        <is>
          <t>Groceries</t>
        </is>
      </c>
      <c r="F511" s="7" t="inlineStr">
        <is>
          <t>Ice Cream</t>
        </is>
      </c>
      <c r="G511" s="0" t="inlineStr">
        <is>
          <t>750ML</t>
        </is>
      </c>
      <c r="H511" s="0" t="n"/>
      <c r="I511" s="7">
        <f>IF(H511="","",VALUE(LEFT(H511,FIND("/",H511)-1))/VALUE(MID(H511,FIND("/",H511)+1,99)))</f>
        <v/>
      </c>
      <c r="J511" s="0" t="inlineStr">
        <is>
          <t>Flavor inferred from dark cookie/chocolate artwork; exact text unreadable.</t>
        </is>
      </c>
      <c r="K511" s="0" t="inlineStr">
        <is>
          <t>https://www.nestle.com.hk/zh/brands/icecream/dreyers</t>
        </is>
      </c>
      <c r="L511" s="0" t="inlineStr">
        <is>
          <t>IMG_7068.HEIC</t>
        </is>
      </c>
    </row>
    <row r="512">
      <c r="A512" s="0" t="n">
        <v>507</v>
      </c>
      <c r="B512" s="6" t="inlineStr">
        <is>
          <t>Dreyer's</t>
        </is>
      </c>
      <c r="C512" s="6" t="inlineStr">
        <is>
          <t>Dreyer's Family ice cream tub, vanilla flavor Unknown</t>
        </is>
      </c>
      <c r="D512" s="0" t="n">
        <v>60</v>
      </c>
      <c r="E512" s="7" t="inlineStr">
        <is>
          <t>Groceries</t>
        </is>
      </c>
      <c r="F512" s="7" t="inlineStr">
        <is>
          <t>Ice Cream</t>
        </is>
      </c>
      <c r="G512" s="0" t="inlineStr">
        <is>
          <t>750ML</t>
        </is>
      </c>
      <c r="H512" s="0" t="n"/>
      <c r="I512" s="7">
        <f>IF(H512="","",VALUE(LEFT(H512,FIND("/",H512)-1))/VALUE(MID(H512,FIND("/",H512)+1,99)))</f>
        <v/>
      </c>
      <c r="J512" s="0" t="inlineStr">
        <is>
          <t>Light-colored tub with vanilla-like artwork; exact flavor text unreadable.</t>
        </is>
      </c>
      <c r="K512" s="0" t="inlineStr">
        <is>
          <t>https://www.nestle.com.hk/zh/brands/icecream/dreyers</t>
        </is>
      </c>
      <c r="L512" s="0" t="inlineStr">
        <is>
          <t>IMG_7068.HEIC</t>
        </is>
      </c>
    </row>
    <row r="513">
      <c r="A513" s="0" t="n">
        <v>508</v>
      </c>
      <c r="B513" s="6" t="inlineStr">
        <is>
          <t>Dreyer's</t>
        </is>
      </c>
      <c r="C513" s="6" t="inlineStr">
        <is>
          <t>Dreyer's Family ice cream tub, strawberry flavor Unknown</t>
        </is>
      </c>
      <c r="D513" s="0" t="n">
        <v>60</v>
      </c>
      <c r="E513" s="7" t="inlineStr">
        <is>
          <t>Groceries</t>
        </is>
      </c>
      <c r="F513" s="7" t="inlineStr">
        <is>
          <t>Ice Cream</t>
        </is>
      </c>
      <c r="G513" s="0" t="inlineStr">
        <is>
          <t>750ML</t>
        </is>
      </c>
      <c r="H513" s="0" t="n"/>
      <c r="I513" s="7">
        <f>IF(H513="","",VALUE(LEFT(H513,FIND("/",H513)-1))/VALUE(MID(H513,FIND("/",H513)+1,99)))</f>
        <v/>
      </c>
      <c r="J513" s="0" t="inlineStr">
        <is>
          <t>Pink/red artwork suggests strawberry; exact label unreadable.</t>
        </is>
      </c>
      <c r="K513" s="0" t="inlineStr">
        <is>
          <t>https://www.nestle.com.hk/zh/brands/icecream/dreyers</t>
        </is>
      </c>
      <c r="L513" s="0" t="inlineStr">
        <is>
          <t>IMG_7068.HEIC</t>
        </is>
      </c>
    </row>
    <row r="514">
      <c r="A514" s="0" t="n">
        <v>509</v>
      </c>
      <c r="B514" s="6" t="inlineStr">
        <is>
          <t>Dreyer's</t>
        </is>
      </c>
      <c r="C514" s="6" t="inlineStr">
        <is>
          <t>Dreyer's Family ice cream tub, flavor Unknown</t>
        </is>
      </c>
      <c r="D514" s="0" t="n">
        <v>60</v>
      </c>
      <c r="E514" s="7" t="inlineStr">
        <is>
          <t>Groceries</t>
        </is>
      </c>
      <c r="F514" s="7" t="inlineStr">
        <is>
          <t>Ice Cream</t>
        </is>
      </c>
      <c r="G514" s="0" t="inlineStr">
        <is>
          <t>750ML</t>
        </is>
      </c>
      <c r="H514" s="0" t="n"/>
      <c r="I514" s="7">
        <f>IF(H514="","",VALUE(LEFT(H514,FIND("/",H514)-1))/VALUE(MID(H514,FIND("/",H514)+1,99)))</f>
        <v/>
      </c>
      <c r="J514" s="0" t="inlineStr">
        <is>
          <t>Back-facing and side-facing tubs; flavor and exact shelf position partly obscured.</t>
        </is>
      </c>
      <c r="K514" s="0" t="inlineStr">
        <is>
          <t>https://www.nestle.com.hk/zh/brands/icecream/dreyers</t>
        </is>
      </c>
      <c r="L514" s="0" t="inlineStr">
        <is>
          <t>IMG_7068.HEIC</t>
        </is>
      </c>
    </row>
    <row r="515">
      <c r="A515" s="0" t="n">
        <v>510</v>
      </c>
      <c r="B515" s="6" t="inlineStr">
        <is>
          <t>Dreyer's</t>
        </is>
      </c>
      <c r="C515" s="6" t="inlineStr">
        <is>
          <t>Dreyer's Family ice cream multipack, variant Unknown</t>
        </is>
      </c>
      <c r="D515" s="0" t="n"/>
      <c r="E515" s="7" t="inlineStr">
        <is>
          <t>Groceries</t>
        </is>
      </c>
      <c r="F515" s="7" t="inlineStr">
        <is>
          <t>Ice Cream</t>
        </is>
      </c>
      <c r="G515" s="0" t="inlineStr">
        <is>
          <t>Unknown</t>
        </is>
      </c>
      <c r="H515" s="0" t="n"/>
      <c r="I515" s="7">
        <f>IF(H515="","",VALUE(LEFT(H515,FIND("/",H515)-1))/VALUE(MID(H515,FIND("/",H515)+1,99)))</f>
        <v/>
      </c>
      <c r="J515" s="0" t="inlineStr">
        <is>
          <t>Lower display packaging visible; exact product and price unreadable.</t>
        </is>
      </c>
      <c r="K515" s="0" t="inlineStr">
        <is>
          <t>https://www.nestle.com.hk/zh/brands/icecream/dreyers</t>
        </is>
      </c>
      <c r="L515" s="0" t="inlineStr">
        <is>
          <t>IMG_7068.HEIC</t>
        </is>
      </c>
    </row>
    <row r="516">
      <c r="A516" s="0" t="n">
        <v>511</v>
      </c>
      <c r="B516" s="6" t="inlineStr">
        <is>
          <t>Unknown</t>
        </is>
      </c>
      <c r="C516" s="6" t="inlineStr">
        <is>
          <t>Packaged red berries/cherries</t>
        </is>
      </c>
      <c r="D516" s="0" t="n"/>
      <c r="E516" s="7" t="inlineStr">
        <is>
          <t>Fresh Food</t>
        </is>
      </c>
      <c r="F516" s="7" t="inlineStr">
        <is>
          <t>Fruit</t>
        </is>
      </c>
      <c r="G516" s="0" t="inlineStr">
        <is>
          <t>Unknown</t>
        </is>
      </c>
      <c r="H516" s="0" t="n"/>
      <c r="I516" s="7">
        <f>IF(H516="","",VALUE(LEFT(H516,FIND("/",H516)-1))/VALUE(MID(H516,FIND("/",H516)+1,99)))</f>
        <v/>
      </c>
      <c r="J516" s="0" t="inlineStr">
        <is>
          <t>Top shelf, far left; label and price unreadable.</t>
        </is>
      </c>
      <c r="K516" s="0" t="str"/>
      <c r="L516" s="0" t="inlineStr">
        <is>
          <t>IMG_7069.HEIC</t>
        </is>
      </c>
    </row>
    <row r="517">
      <c r="A517" s="0" t="n">
        <v>512</v>
      </c>
      <c r="B517" s="6" t="inlineStr">
        <is>
          <t>Unknown</t>
        </is>
      </c>
      <c r="C517" s="6" t="inlineStr">
        <is>
          <t>Red chili peppers, packaged</t>
        </is>
      </c>
      <c r="D517" s="0" t="n">
        <v>7.9</v>
      </c>
      <c r="E517" s="7" t="inlineStr">
        <is>
          <t>Fresh Food</t>
        </is>
      </c>
      <c r="F517" s="7" t="inlineStr">
        <is>
          <t>Vegetables</t>
        </is>
      </c>
      <c r="G517" s="0" t="inlineStr">
        <is>
          <t>Unknown</t>
        </is>
      </c>
      <c r="H517" s="0" t="n"/>
      <c r="I517" s="7">
        <f>IF(H517="","",VALUE(LEFT(H517,FIND("/",H517)-1))/VALUE(MID(H517,FIND("/",H517)+1,99)))</f>
        <v/>
      </c>
      <c r="J517" s="0" t="inlineStr">
        <is>
          <t>Top shelf, left-center; shelf tag approximately $7.9.</t>
        </is>
      </c>
      <c r="K517" s="0" t="str"/>
      <c r="L517" s="0" t="inlineStr">
        <is>
          <t>IMG_7069.HEIC</t>
        </is>
      </c>
    </row>
    <row r="518">
      <c r="A518" s="0" t="n">
        <v>513</v>
      </c>
      <c r="B518" s="6" t="inlineStr">
        <is>
          <t>Unknown</t>
        </is>
      </c>
      <c r="C518" s="6" t="inlineStr">
        <is>
          <t>Packaged mushrooms, mixed/unknown variety</t>
        </is>
      </c>
      <c r="D518" s="0" t="n">
        <v>23.9</v>
      </c>
      <c r="E518" s="7" t="inlineStr">
        <is>
          <t>Fresh Food</t>
        </is>
      </c>
      <c r="F518" s="7" t="inlineStr">
        <is>
          <t>Vegetables</t>
        </is>
      </c>
      <c r="G518" s="0" t="inlineStr">
        <is>
          <t>Unknown</t>
        </is>
      </c>
      <c r="H518" s="0" t="n"/>
      <c r="I518" s="7">
        <f>IF(H518="","",VALUE(LEFT(H518,FIND("/",H518)-1))/VALUE(MID(H518,FIND("/",H518)+1,99)))</f>
        <v/>
      </c>
      <c r="J518" s="0" t="inlineStr">
        <is>
          <t>Top shelf, center; shelf tag approximately $23.9.</t>
        </is>
      </c>
      <c r="K518" s="0" t="str"/>
      <c r="L518" s="0" t="inlineStr">
        <is>
          <t>IMG_7069.HEIC</t>
        </is>
      </c>
    </row>
    <row r="519">
      <c r="A519" s="0" t="n">
        <v>514</v>
      </c>
      <c r="B519" s="6" t="inlineStr">
        <is>
          <t>Unknown</t>
        </is>
      </c>
      <c r="C519" s="6" t="inlineStr">
        <is>
          <t>Zucchini/courgettes, packaged</t>
        </is>
      </c>
      <c r="D519" s="0" t="n">
        <v>9.9</v>
      </c>
      <c r="E519" s="7" t="inlineStr">
        <is>
          <t>Fresh Food</t>
        </is>
      </c>
      <c r="F519" s="7" t="inlineStr">
        <is>
          <t>Vegetables</t>
        </is>
      </c>
      <c r="G519" s="0" t="inlineStr">
        <is>
          <t>Unknown</t>
        </is>
      </c>
      <c r="H519" s="0" t="n"/>
      <c r="I519" s="7">
        <f>IF(H519="","",VALUE(LEFT(H519,FIND("/",H519)-1))/VALUE(MID(H519,FIND("/",H519)+1,99)))</f>
        <v/>
      </c>
      <c r="J519" s="0" t="inlineStr">
        <is>
          <t>Top shelf, right-center; shelf tag approximately $9.9.</t>
        </is>
      </c>
      <c r="K519" s="0" t="str"/>
      <c r="L519" s="0" t="inlineStr">
        <is>
          <t>IMG_7069.HEIC</t>
        </is>
      </c>
    </row>
    <row r="520">
      <c r="A520" s="0" t="n">
        <v>515</v>
      </c>
      <c r="B520" s="6" t="inlineStr">
        <is>
          <t>Unknown</t>
        </is>
      </c>
      <c r="C520" s="6" t="inlineStr">
        <is>
          <t>White mushrooms, packaged</t>
        </is>
      </c>
      <c r="D520" s="0" t="n">
        <v>9.9</v>
      </c>
      <c r="E520" s="7" t="inlineStr">
        <is>
          <t>Fresh Food</t>
        </is>
      </c>
      <c r="F520" s="7" t="inlineStr">
        <is>
          <t>Vegetables</t>
        </is>
      </c>
      <c r="G520" s="0" t="inlineStr">
        <is>
          <t>Unknown</t>
        </is>
      </c>
      <c r="H520" s="0" t="n"/>
      <c r="I520" s="7">
        <f>IF(H520="","",VALUE(LEFT(H520,FIND("/",H520)-1))/VALUE(MID(H520,FIND("/",H520)+1,99)))</f>
        <v/>
      </c>
      <c r="J520" s="0" t="inlineStr">
        <is>
          <t>Top shelf, right; orange stickers visible; exact variety/weight unreadable.</t>
        </is>
      </c>
      <c r="K520" s="0" t="str"/>
      <c r="L520" s="0" t="inlineStr">
        <is>
          <t>IMG_7069.HEIC</t>
        </is>
      </c>
    </row>
    <row r="521">
      <c r="A521" s="0" t="n">
        <v>516</v>
      </c>
      <c r="B521" s="6" t="inlineStr">
        <is>
          <t>Unknown</t>
        </is>
      </c>
      <c r="C521" s="6" t="inlineStr">
        <is>
          <t>Oyster/mixed mushrooms, packaged</t>
        </is>
      </c>
      <c r="D521" s="0" t="n">
        <v>12.9</v>
      </c>
      <c r="E521" s="7" t="inlineStr">
        <is>
          <t>Fresh Food</t>
        </is>
      </c>
      <c r="F521" s="7" t="inlineStr">
        <is>
          <t>Vegetables</t>
        </is>
      </c>
      <c r="G521" s="0" t="inlineStr">
        <is>
          <t>Unknown</t>
        </is>
      </c>
      <c r="H521" s="0" t="n"/>
      <c r="I521" s="7">
        <f>IF(H521="","",VALUE(LEFT(H521,FIND("/",H521)-1))/VALUE(MID(H521,FIND("/",H521)+1,99)))</f>
        <v/>
      </c>
      <c r="J521" s="0" t="inlineStr">
        <is>
          <t>Top shelf, far right; shelf tag approximately $12.9.</t>
        </is>
      </c>
      <c r="K521" s="0" t="str"/>
      <c r="L521" s="0" t="inlineStr">
        <is>
          <t>IMG_7069.HEIC</t>
        </is>
      </c>
    </row>
    <row r="522">
      <c r="A522" s="0" t="n">
        <v>517</v>
      </c>
      <c r="B522" s="6" t="inlineStr">
        <is>
          <t>Unknown</t>
        </is>
      </c>
      <c r="C522" s="6" t="inlineStr">
        <is>
          <t>Red vegetables, packaged</t>
        </is>
      </c>
      <c r="D522" s="0" t="n">
        <v>17.9</v>
      </c>
      <c r="E522" s="7" t="inlineStr">
        <is>
          <t>Fresh Food</t>
        </is>
      </c>
      <c r="F522" s="7" t="inlineStr">
        <is>
          <t>Vegetables</t>
        </is>
      </c>
      <c r="G522" s="0" t="inlineStr">
        <is>
          <t>Unknown</t>
        </is>
      </c>
      <c r="H522" s="0" t="n"/>
      <c r="I522" s="7">
        <f>IF(H522="","",VALUE(LEFT(H522,FIND("/",H522)-1))/VALUE(MID(H522,FIND("/",H522)+1,99)))</f>
        <v/>
      </c>
      <c r="J522" s="0" t="inlineStr">
        <is>
          <t>Second shelf, left; exact item unreadable.</t>
        </is>
      </c>
      <c r="K522" s="0" t="str"/>
      <c r="L522" s="0" t="inlineStr">
        <is>
          <t>IMG_7069.HEIC</t>
        </is>
      </c>
    </row>
    <row r="523">
      <c r="A523" s="0" t="n">
        <v>518</v>
      </c>
      <c r="B523" s="6" t="inlineStr">
        <is>
          <t>Unknown</t>
        </is>
      </c>
      <c r="C523" s="6" t="inlineStr">
        <is>
          <t>Cucumbers/green peppers, packaged</t>
        </is>
      </c>
      <c r="D523" s="0" t="n">
        <v>8.9</v>
      </c>
      <c r="E523" s="7" t="inlineStr">
        <is>
          <t>Fresh Food</t>
        </is>
      </c>
      <c r="F523" s="7" t="inlineStr">
        <is>
          <t>Vegetables</t>
        </is>
      </c>
      <c r="G523" s="0" t="inlineStr">
        <is>
          <t>Unknown</t>
        </is>
      </c>
      <c r="H523" s="0" t="n"/>
      <c r="I523" s="7">
        <f>IF(H523="","",VALUE(LEFT(H523,FIND("/",H523)-1))/VALUE(MID(H523,FIND("/",H523)+1,99)))</f>
        <v/>
      </c>
      <c r="J523" s="0" t="inlineStr">
        <is>
          <t>Second shelf, center-left; shelf tag approximately $8.9.</t>
        </is>
      </c>
      <c r="K523" s="0" t="str"/>
      <c r="L523" s="0" t="inlineStr">
        <is>
          <t>IMG_7069.HEIC</t>
        </is>
      </c>
    </row>
    <row r="524">
      <c r="A524" s="0" t="n">
        <v>519</v>
      </c>
      <c r="B524" s="6" t="inlineStr">
        <is>
          <t>Unknown</t>
        </is>
      </c>
      <c r="C524" s="6" t="inlineStr">
        <is>
          <t>Radishes, packaged</t>
        </is>
      </c>
      <c r="D524" s="0" t="n">
        <v>10.9</v>
      </c>
      <c r="E524" s="7" t="inlineStr">
        <is>
          <t>Fresh Food</t>
        </is>
      </c>
      <c r="F524" s="7" t="inlineStr">
        <is>
          <t>Vegetables</t>
        </is>
      </c>
      <c r="G524" s="0" t="inlineStr">
        <is>
          <t>Unknown</t>
        </is>
      </c>
      <c r="H524" s="0" t="n"/>
      <c r="I524" s="7">
        <f>IF(H524="","",VALUE(LEFT(H524,FIND("/",H524)-1))/VALUE(MID(H524,FIND("/",H524)+1,99)))</f>
        <v/>
      </c>
      <c r="J524" s="0" t="inlineStr">
        <is>
          <t>Second shelf, center; shelf tag approximately $10.9.</t>
        </is>
      </c>
      <c r="K524" s="0" t="str"/>
      <c r="L524" s="0" t="inlineStr">
        <is>
          <t>IMG_7069.HEIC</t>
        </is>
      </c>
    </row>
    <row r="525">
      <c r="A525" s="0" t="n">
        <v>520</v>
      </c>
      <c r="B525" s="6" t="inlineStr">
        <is>
          <t>Unknown</t>
        </is>
      </c>
      <c r="C525" s="6" t="inlineStr">
        <is>
          <t>Baby corn, packaged</t>
        </is>
      </c>
      <c r="D525" s="0" t="n">
        <v>12.9</v>
      </c>
      <c r="E525" s="7" t="inlineStr">
        <is>
          <t>Fresh Food</t>
        </is>
      </c>
      <c r="F525" s="7" t="inlineStr">
        <is>
          <t>Vegetables</t>
        </is>
      </c>
      <c r="G525" s="0" t="inlineStr">
        <is>
          <t>Unknown</t>
        </is>
      </c>
      <c r="H525" s="0" t="n"/>
      <c r="I525" s="7">
        <f>IF(H525="","",VALUE(LEFT(H525,FIND("/",H525)-1))/VALUE(MID(H525,FIND("/",H525)+1,99)))</f>
        <v/>
      </c>
      <c r="J525" s="0" t="inlineStr">
        <is>
          <t>Second shelf, center-right; exact pack weight unreadable.</t>
        </is>
      </c>
      <c r="K525" s="0" t="str"/>
      <c r="L525" s="0" t="inlineStr">
        <is>
          <t>IMG_7069.HEIC</t>
        </is>
      </c>
    </row>
    <row r="526">
      <c r="A526" s="0" t="n">
        <v>521</v>
      </c>
      <c r="B526" s="6" t="inlineStr">
        <is>
          <t>Unknown</t>
        </is>
      </c>
      <c r="C526" s="6" t="inlineStr">
        <is>
          <t>Leafy vegetables/cabbage, packaged</t>
        </is>
      </c>
      <c r="D526" s="0" t="n">
        <v>10.9</v>
      </c>
      <c r="E526" s="7" t="inlineStr">
        <is>
          <t>Fresh Food</t>
        </is>
      </c>
      <c r="F526" s="7" t="inlineStr">
        <is>
          <t>Vegetables</t>
        </is>
      </c>
      <c r="G526" s="0" t="inlineStr">
        <is>
          <t>Unknown</t>
        </is>
      </c>
      <c r="H526" s="0" t="n"/>
      <c r="I526" s="7">
        <f>IF(H526="","",VALUE(LEFT(H526,FIND("/",H526)-1))/VALUE(MID(H526,FIND("/",H526)+1,99)))</f>
        <v/>
      </c>
      <c r="J526" s="0" t="inlineStr">
        <is>
          <t>Second shelf, right; exact variety unreadable.</t>
        </is>
      </c>
      <c r="K526" s="0" t="str"/>
      <c r="L526" s="0" t="inlineStr">
        <is>
          <t>IMG_7069.HEIC</t>
        </is>
      </c>
    </row>
    <row r="527">
      <c r="A527" s="0" t="n">
        <v>522</v>
      </c>
      <c r="B527" s="6" t="inlineStr">
        <is>
          <t>Unknown</t>
        </is>
      </c>
      <c r="C527" s="6" t="inlineStr">
        <is>
          <t>Carrots, packaged</t>
        </is>
      </c>
      <c r="D527" s="0" t="n">
        <v>14.9</v>
      </c>
      <c r="E527" s="7" t="inlineStr">
        <is>
          <t>Fresh Food</t>
        </is>
      </c>
      <c r="F527" s="7" t="inlineStr">
        <is>
          <t>Vegetables</t>
        </is>
      </c>
      <c r="G527" s="0" t="inlineStr">
        <is>
          <t>Unknown</t>
        </is>
      </c>
      <c r="H527" s="0" t="n"/>
      <c r="I527" s="7">
        <f>IF(H527="","",VALUE(LEFT(H527,FIND("/",H527)-1))/VALUE(MID(H527,FIND("/",H527)+1,99)))</f>
        <v/>
      </c>
      <c r="J527" s="0" t="inlineStr">
        <is>
          <t>Bottom bins, center-right; shelf tag approximately $14.9.</t>
        </is>
      </c>
      <c r="K527" s="0" t="str"/>
      <c r="L527" s="0" t="inlineStr">
        <is>
          <t>IMG_7069.HEIC</t>
        </is>
      </c>
    </row>
    <row r="528">
      <c r="A528" s="0" t="n">
        <v>523</v>
      </c>
      <c r="B528" s="6" t="inlineStr">
        <is>
          <t>Unknown</t>
        </is>
      </c>
      <c r="C528" s="6" t="inlineStr">
        <is>
          <t>Eggplant, packaged</t>
        </is>
      </c>
      <c r="D528" s="0" t="n">
        <v>7.9</v>
      </c>
      <c r="E528" s="7" t="inlineStr">
        <is>
          <t>Fresh Food</t>
        </is>
      </c>
      <c r="F528" s="7" t="inlineStr">
        <is>
          <t>Vegetables</t>
        </is>
      </c>
      <c r="G528" s="0" t="inlineStr">
        <is>
          <t>Unknown</t>
        </is>
      </c>
      <c r="H528" s="0" t="n"/>
      <c r="I528" s="7">
        <f>IF(H528="","",VALUE(LEFT(H528,FIND("/",H528)-1))/VALUE(MID(H528,FIND("/",H528)+1,99)))</f>
        <v/>
      </c>
      <c r="J528" s="0" t="inlineStr">
        <is>
          <t>Bottom bins, center; shelf tag approximately $7.9.</t>
        </is>
      </c>
      <c r="K528" s="0" t="str"/>
      <c r="L528" s="0" t="inlineStr">
        <is>
          <t>IMG_7069.HEIC</t>
        </is>
      </c>
    </row>
    <row r="529">
      <c r="A529" s="0" t="n">
        <v>524</v>
      </c>
      <c r="B529" s="6" t="inlineStr">
        <is>
          <t>Unknown</t>
        </is>
      </c>
      <c r="C529" s="6" t="inlineStr">
        <is>
          <t>Bell peppers, packaged</t>
        </is>
      </c>
      <c r="D529" s="0" t="n">
        <v>14.9</v>
      </c>
      <c r="E529" s="7" t="inlineStr">
        <is>
          <t>Fresh Food</t>
        </is>
      </c>
      <c r="F529" s="7" t="inlineStr">
        <is>
          <t>Vegetables</t>
        </is>
      </c>
      <c r="G529" s="0" t="inlineStr">
        <is>
          <t>Unknown</t>
        </is>
      </c>
      <c r="H529" s="0" t="n"/>
      <c r="I529" s="7">
        <f>IF(H529="","",VALUE(LEFT(H529,FIND("/",H529)-1))/VALUE(MID(H529,FIND("/",H529)+1,99)))</f>
        <v/>
      </c>
      <c r="J529" s="0" t="inlineStr">
        <is>
          <t>Bottom bins, left; exact color mix/weight unreadable.</t>
        </is>
      </c>
      <c r="K529" s="0" t="str"/>
      <c r="L529" s="0" t="inlineStr">
        <is>
          <t>IMG_7069.HEIC</t>
        </is>
      </c>
    </row>
    <row r="530">
      <c r="A530" s="0" t="n">
        <v>525</v>
      </c>
      <c r="B530" s="6" t="inlineStr">
        <is>
          <t>Unknown</t>
        </is>
      </c>
      <c r="C530" s="6" t="inlineStr">
        <is>
          <t>Chinese cabbage/lettuce, packaged</t>
        </is>
      </c>
      <c r="D530" s="0" t="n">
        <v>9.9</v>
      </c>
      <c r="E530" s="7" t="inlineStr">
        <is>
          <t>Fresh Food</t>
        </is>
      </c>
      <c r="F530" s="7" t="inlineStr">
        <is>
          <t>Vegetables</t>
        </is>
      </c>
      <c r="G530" s="0" t="inlineStr">
        <is>
          <t>Unknown</t>
        </is>
      </c>
      <c r="H530" s="0" t="n"/>
      <c r="I530" s="7">
        <f>IF(H530="","",VALUE(LEFT(H530,FIND("/",H530)-1))/VALUE(MID(H530,FIND("/",H530)+1,99)))</f>
        <v/>
      </c>
      <c r="J530" s="0" t="inlineStr">
        <is>
          <t>Bottom bins, right; shelf tag approximately $9.9.</t>
        </is>
      </c>
      <c r="K530" s="0" t="str"/>
      <c r="L530" s="0" t="inlineStr">
        <is>
          <t>IMG_7069.HEIC</t>
        </is>
      </c>
    </row>
    <row r="531">
      <c r="A531" s="0" t="n">
        <v>526</v>
      </c>
      <c r="B531" s="6" t="inlineStr">
        <is>
          <t>Unknown</t>
        </is>
      </c>
      <c r="C531" s="6" t="inlineStr">
        <is>
          <t>Kiwifruit, loose</t>
        </is>
      </c>
      <c r="D531" s="0" t="n"/>
      <c r="E531" s="7" t="inlineStr">
        <is>
          <t>Fresh Food</t>
        </is>
      </c>
      <c r="F531" s="7" t="inlineStr">
        <is>
          <t>Fruit</t>
        </is>
      </c>
      <c r="G531" s="0" t="inlineStr">
        <is>
          <t>Unknown</t>
        </is>
      </c>
      <c r="H531" s="0" t="n"/>
      <c r="I531" s="7">
        <f>IF(H531="","",VALUE(LEFT(H531,FIND("/",H531)-1))/VALUE(MID(H531,FIND("/",H531)+1,99)))</f>
        <v/>
      </c>
      <c r="J531" s="0" t="inlineStr">
        <is>
          <t>Left-side partial bin; price not visible in this image.</t>
        </is>
      </c>
      <c r="K531" s="0" t="str"/>
      <c r="L531" s="0" t="inlineStr">
        <is>
          <t>IMG_7070.HEIC</t>
        </is>
      </c>
    </row>
    <row r="532">
      <c r="A532" s="0" t="n">
        <v>527</v>
      </c>
      <c r="B532" s="6" t="inlineStr">
        <is>
          <t>Unknown</t>
        </is>
      </c>
      <c r="C532" s="6" t="inlineStr">
        <is>
          <t>Bananas, loose</t>
        </is>
      </c>
      <c r="D532" s="0" t="n">
        <v>4.7</v>
      </c>
      <c r="E532" s="7" t="inlineStr">
        <is>
          <t>Fresh Food</t>
        </is>
      </c>
      <c r="F532" s="7" t="inlineStr">
        <is>
          <t>Fruit</t>
        </is>
      </c>
      <c r="G532" s="0" t="inlineStr">
        <is>
          <t>By weight</t>
        </is>
      </c>
      <c r="H532" s="0" t="n"/>
      <c r="I532" s="7">
        <f>IF(H532="","",VALUE(LEFT(H532,FIND("/",H532)-1))/VALUE(MID(H532,FIND("/",H532)+1,99)))</f>
        <v/>
      </c>
      <c r="J532" s="0" t="inlineStr">
        <is>
          <t>Large central display; sign reads approximately $4.7/lb; banana sticker brand unreadable.</t>
        </is>
      </c>
      <c r="K532" s="0" t="str"/>
      <c r="L532" s="0" t="inlineStr">
        <is>
          <t>IMG_7070.HEIC</t>
        </is>
      </c>
    </row>
    <row r="533">
      <c r="A533" s="0" t="n">
        <v>528</v>
      </c>
      <c r="B533" s="6" t="inlineStr">
        <is>
          <t>Unknown</t>
        </is>
      </c>
      <c r="C533" s="6" t="inlineStr">
        <is>
          <t>Oranges/mandarins, loose</t>
        </is>
      </c>
      <c r="D533" s="0" t="n">
        <v>21</v>
      </c>
      <c r="E533" s="7" t="inlineStr">
        <is>
          <t>Fresh Food</t>
        </is>
      </c>
      <c r="F533" s="7" t="inlineStr">
        <is>
          <t>Fruit</t>
        </is>
      </c>
      <c r="G533" s="0" t="inlineStr">
        <is>
          <t>By weight</t>
        </is>
      </c>
      <c r="H533" s="0" t="n"/>
      <c r="I533" s="7">
        <f>IF(H533="","",VALUE(LEFT(H533,FIND("/",H533)-1))/VALUE(MID(H533,FIND("/",H533)+1,99)))</f>
        <v/>
      </c>
      <c r="J533" s="0" t="inlineStr">
        <is>
          <t>Far-left bin; sign appears $21.0/3, exact unit text partly obscured.</t>
        </is>
      </c>
      <c r="K533" s="0" t="str"/>
      <c r="L533" s="0" t="inlineStr">
        <is>
          <t>IMG_7072.HEIC</t>
        </is>
      </c>
    </row>
    <row r="534">
      <c r="A534" s="0" t="n">
        <v>529</v>
      </c>
      <c r="B534" s="6" t="inlineStr">
        <is>
          <t>Unknown</t>
        </is>
      </c>
      <c r="C534" s="6" t="inlineStr">
        <is>
          <t>Lemons, loose</t>
        </is>
      </c>
      <c r="D534" s="0" t="n">
        <v>22</v>
      </c>
      <c r="E534" s="7" t="inlineStr">
        <is>
          <t>Fresh Food</t>
        </is>
      </c>
      <c r="F534" s="7" t="inlineStr">
        <is>
          <t>Fruit</t>
        </is>
      </c>
      <c r="G534" s="0" t="inlineStr">
        <is>
          <t>By weight</t>
        </is>
      </c>
      <c r="H534" s="0" t="n"/>
      <c r="I534" s="7">
        <f>IF(H534="","",VALUE(LEFT(H534,FIND("/",H534)-1))/VALUE(MID(H534,FIND("/",H534)+1,99)))</f>
        <v/>
      </c>
      <c r="J534" s="0" t="inlineStr">
        <is>
          <t>Left-center bin; sign approximately $22.0.</t>
        </is>
      </c>
      <c r="K534" s="0" t="str"/>
      <c r="L534" s="0" t="inlineStr">
        <is>
          <t>IMG_7072.HEIC</t>
        </is>
      </c>
    </row>
    <row r="535">
      <c r="A535" s="0" t="n">
        <v>530</v>
      </c>
      <c r="B535" s="6" t="inlineStr">
        <is>
          <t>Unknown</t>
        </is>
      </c>
      <c r="C535" s="6" t="inlineStr">
        <is>
          <t>Dragon fruit</t>
        </is>
      </c>
      <c r="D535" s="0" t="n">
        <v>14.9</v>
      </c>
      <c r="E535" s="7" t="inlineStr">
        <is>
          <t>Fresh Food</t>
        </is>
      </c>
      <c r="F535" s="7" t="inlineStr">
        <is>
          <t>Fruit</t>
        </is>
      </c>
      <c r="G535" s="0" t="inlineStr">
        <is>
          <t>By weight</t>
        </is>
      </c>
      <c r="H535" s="0" t="n"/>
      <c r="I535" s="7">
        <f>IF(H535="","",VALUE(LEFT(H535,FIND("/",H535)-1))/VALUE(MID(H535,FIND("/",H535)+1,99)))</f>
        <v/>
      </c>
      <c r="J535" s="0" t="inlineStr">
        <is>
          <t>Center-left bin; sign appears $14.9/3; exact unit text partly obscured.</t>
        </is>
      </c>
      <c r="K535" s="0" t="str"/>
      <c r="L535" s="0" t="inlineStr">
        <is>
          <t>IMG_7072.HEIC</t>
        </is>
      </c>
    </row>
    <row r="536">
      <c r="A536" s="0" t="n">
        <v>531</v>
      </c>
      <c r="B536" s="6" t="inlineStr">
        <is>
          <t>Unknown</t>
        </is>
      </c>
      <c r="C536" s="6" t="inlineStr">
        <is>
          <t>Pineapple, loose</t>
        </is>
      </c>
      <c r="D536" s="0" t="n"/>
      <c r="E536" s="7" t="inlineStr">
        <is>
          <t>Fresh Food</t>
        </is>
      </c>
      <c r="F536" s="7" t="inlineStr">
        <is>
          <t>Fruit</t>
        </is>
      </c>
      <c r="G536" s="0" t="inlineStr">
        <is>
          <t>Each</t>
        </is>
      </c>
      <c r="H536" s="0" t="n"/>
      <c r="I536" s="7">
        <f>IF(H536="","",VALUE(LEFT(H536,FIND("/",H536)-1))/VALUE(MID(H536,FIND("/",H536)+1,99)))</f>
        <v/>
      </c>
      <c r="J536" s="0" t="inlineStr">
        <is>
          <t>Center bin; no readable product price directly attached.</t>
        </is>
      </c>
      <c r="K536" s="0" t="str"/>
      <c r="L536" s="0" t="inlineStr">
        <is>
          <t>IMG_7072.HEIC</t>
        </is>
      </c>
    </row>
    <row r="537">
      <c r="A537" s="0" t="n">
        <v>532</v>
      </c>
      <c r="B537" s="6" t="inlineStr">
        <is>
          <t>Unknown</t>
        </is>
      </c>
      <c r="C537" s="6" t="inlineStr">
        <is>
          <t>Avocados, loose</t>
        </is>
      </c>
      <c r="D537" s="0" t="n">
        <v>35</v>
      </c>
      <c r="E537" s="7" t="inlineStr">
        <is>
          <t>Fresh Food</t>
        </is>
      </c>
      <c r="F537" s="7" t="inlineStr">
        <is>
          <t>Fruit</t>
        </is>
      </c>
      <c r="G537" s="0" t="inlineStr">
        <is>
          <t>By weight</t>
        </is>
      </c>
      <c r="H537" s="0" t="n"/>
      <c r="I537" s="7">
        <f>IF(H537="","",VALUE(LEFT(H537,FIND("/",H537)-1))/VALUE(MID(H537,FIND("/",H537)+1,99)))</f>
        <v/>
      </c>
      <c r="J537" s="0" t="inlineStr">
        <is>
          <t>Center-right bin; sign approximately $35.0.</t>
        </is>
      </c>
      <c r="K537" s="0" t="str"/>
      <c r="L537" s="0" t="inlineStr">
        <is>
          <t>IMG_7072.HEIC</t>
        </is>
      </c>
    </row>
    <row r="538">
      <c r="A538" s="0" t="n">
        <v>533</v>
      </c>
      <c r="B538" s="6" t="inlineStr">
        <is>
          <t>Unknown</t>
        </is>
      </c>
      <c r="C538" s="6" t="inlineStr">
        <is>
          <t>Kiwifruit, loose</t>
        </is>
      </c>
      <c r="D538" s="0" t="n">
        <v>20</v>
      </c>
      <c r="E538" s="7" t="inlineStr">
        <is>
          <t>Fresh Food</t>
        </is>
      </c>
      <c r="F538" s="7" t="inlineStr">
        <is>
          <t>Fruit</t>
        </is>
      </c>
      <c r="G538" s="0" t="inlineStr">
        <is>
          <t>By weight</t>
        </is>
      </c>
      <c r="H538" s="0" t="n"/>
      <c r="I538" s="7">
        <f>IF(H538="","",VALUE(LEFT(H538,FIND("/",H538)-1))/VALUE(MID(H538,FIND("/",H538)+1,99)))</f>
        <v/>
      </c>
      <c r="J538" s="0" t="inlineStr">
        <is>
          <t>Right-center bin; sign appears $20.0/5.</t>
        </is>
      </c>
      <c r="K538" s="0" t="str"/>
      <c r="L538" s="0" t="inlineStr">
        <is>
          <t>IMG_7072.HEIC</t>
        </is>
      </c>
    </row>
    <row r="539">
      <c r="A539" s="0" t="n">
        <v>534</v>
      </c>
      <c r="B539" s="6" t="inlineStr">
        <is>
          <t>Unknown</t>
        </is>
      </c>
      <c r="C539" s="6" t="inlineStr">
        <is>
          <t>Bananas, loose</t>
        </is>
      </c>
      <c r="D539" s="0" t="n">
        <v>4.7</v>
      </c>
      <c r="E539" s="7" t="inlineStr">
        <is>
          <t>Fresh Food</t>
        </is>
      </c>
      <c r="F539" s="7" t="inlineStr">
        <is>
          <t>Fruit</t>
        </is>
      </c>
      <c r="G539" s="0" t="inlineStr">
        <is>
          <t>By weight</t>
        </is>
      </c>
      <c r="H539" s="0" t="n"/>
      <c r="I539" s="7">
        <f>IF(H539="","",VALUE(LEFT(H539,FIND("/",H539)-1))/VALUE(MID(H539,FIND("/",H539)+1,99)))</f>
        <v/>
      </c>
      <c r="J539" s="0" t="inlineStr">
        <is>
          <t>Far-right display; sign approximately $4.7/lb.</t>
        </is>
      </c>
      <c r="K539" s="0" t="str"/>
      <c r="L539" s="0" t="inlineStr">
        <is>
          <t>IMG_7072.HEIC</t>
        </is>
      </c>
    </row>
    <row r="540">
      <c r="A540" s="0" t="n">
        <v>535</v>
      </c>
      <c r="B540" s="6" t="inlineStr">
        <is>
          <t>Select</t>
        </is>
      </c>
      <c r="C540" s="6" t="inlineStr">
        <is>
          <t>Select pork slices/chops, cut Unknown</t>
        </is>
      </c>
      <c r="D540" s="0" t="n"/>
      <c r="E540" s="7" t="inlineStr">
        <is>
          <t>Fresh Food</t>
        </is>
      </c>
      <c r="F540" s="7" t="inlineStr">
        <is>
          <t>Meat</t>
        </is>
      </c>
      <c r="G540" s="0" t="inlineStr">
        <is>
          <t>Unknown</t>
        </is>
      </c>
      <c r="H540" s="0" t="n"/>
      <c r="I540" s="7">
        <f>IF(H540="","",VALUE(LEFT(H540,FIND("/",H540)-1))/VALUE(MID(H540,FIND("/",H540)+1,99)))</f>
        <v/>
      </c>
      <c r="J540" s="0" t="inlineStr">
        <is>
          <t>Top shelf, left-to-right first visible tray; label text too small.</t>
        </is>
      </c>
      <c r="K540" s="0" t="inlineStr">
        <is>
          <t>https://www.pns.hk/en/food-beverages/pork/c/04150210</t>
        </is>
      </c>
      <c r="L540" s="0" t="inlineStr">
        <is>
          <t>IMG_7073.HEIC</t>
        </is>
      </c>
    </row>
    <row r="541">
      <c r="A541" s="0" t="n">
        <v>536</v>
      </c>
      <c r="B541" s="6" t="inlineStr">
        <is>
          <t>Select</t>
        </is>
      </c>
      <c r="C541" s="6" t="inlineStr">
        <is>
          <t>Select pork belly/sliced pork</t>
        </is>
      </c>
      <c r="D541" s="0" t="n">
        <v>38.9</v>
      </c>
      <c r="E541" s="7" t="inlineStr">
        <is>
          <t>Fresh Food</t>
        </is>
      </c>
      <c r="F541" s="7" t="inlineStr">
        <is>
          <t>Meat</t>
        </is>
      </c>
      <c r="G541" s="0" t="inlineStr">
        <is>
          <t>181G</t>
        </is>
      </c>
      <c r="H541" s="0" t="n"/>
      <c r="I541" s="7">
        <f>IF(H541="","",VALUE(LEFT(H541,FIND("/",H541)-1))/VALUE(MID(H541,FIND("/",H541)+1,99)))</f>
        <v/>
      </c>
      <c r="J541" s="0" t="inlineStr">
        <is>
          <t>Top/middle shelf; label appears approximately 181 g and $38.90; exact cut uncertain.</t>
        </is>
      </c>
      <c r="K541" s="0" t="inlineStr">
        <is>
          <t>https://www.pns.hk/en/food-beverages/pork/c/04150210</t>
        </is>
      </c>
      <c r="L541" s="0" t="inlineStr">
        <is>
          <t>IMG_7073.HEIC</t>
        </is>
      </c>
    </row>
    <row r="542">
      <c r="A542" s="0" t="n">
        <v>537</v>
      </c>
      <c r="B542" s="6" t="inlineStr">
        <is>
          <t>Select</t>
        </is>
      </c>
      <c r="C542" s="6" t="inlineStr">
        <is>
          <t>Select pork belly slices</t>
        </is>
      </c>
      <c r="D542" s="0" t="n"/>
      <c r="E542" s="7" t="inlineStr">
        <is>
          <t>Fresh Food</t>
        </is>
      </c>
      <c r="F542" s="7" t="inlineStr">
        <is>
          <t>Meat</t>
        </is>
      </c>
      <c r="G542" s="0" t="inlineStr">
        <is>
          <t>Unknown</t>
        </is>
      </c>
      <c r="H542" s="0" t="n"/>
      <c r="I542" s="7">
        <f>IF(H542="","",VALUE(LEFT(H542,FIND("/",H542)-1))/VALUE(MID(H542,FIND("/",H542)+1,99)))</f>
        <v/>
      </c>
      <c r="J542" s="0" t="inlineStr">
        <is>
          <t>Top shelf center; visible green no-hormones sticker; price unreadable.</t>
        </is>
      </c>
      <c r="K542" s="0" t="inlineStr">
        <is>
          <t>https://www.pns.hk/en/food-beverages/pork/c/04150210</t>
        </is>
      </c>
      <c r="L542" s="0" t="inlineStr">
        <is>
          <t>IMG_7073.HEIC</t>
        </is>
      </c>
    </row>
    <row r="543">
      <c r="A543" s="0" t="n">
        <v>538</v>
      </c>
      <c r="B543" s="6" t="inlineStr">
        <is>
          <t>Select</t>
        </is>
      </c>
      <c r="C543" s="6" t="inlineStr">
        <is>
          <t>Select pork belly/sliced pork</t>
        </is>
      </c>
      <c r="D543" s="0" t="n"/>
      <c r="E543" s="7" t="inlineStr">
        <is>
          <t>Fresh Food</t>
        </is>
      </c>
      <c r="F543" s="7" t="inlineStr">
        <is>
          <t>Meat</t>
        </is>
      </c>
      <c r="G543" s="0" t="inlineStr">
        <is>
          <t>248G</t>
        </is>
      </c>
      <c r="H543" s="0" t="n"/>
      <c r="I543" s="7">
        <f>IF(H543="","",VALUE(LEFT(H543,FIND("/",H543)-1))/VALUE(MID(H543,FIND("/",H543)+1,99)))</f>
        <v/>
      </c>
      <c r="J543" s="0" t="inlineStr">
        <is>
          <t>Top shelf right-center; weight appears 248 g; price unreadable.</t>
        </is>
      </c>
      <c r="K543" s="0" t="inlineStr">
        <is>
          <t>https://www.pns.hk/en/food-beverages/pork/c/04150210</t>
        </is>
      </c>
      <c r="L543" s="0" t="inlineStr">
        <is>
          <t>IMG_7073.HEIC</t>
        </is>
      </c>
    </row>
    <row r="544">
      <c r="A544" s="0" t="n">
        <v>539</v>
      </c>
      <c r="B544" s="6" t="inlineStr">
        <is>
          <t>Select</t>
        </is>
      </c>
      <c r="C544" s="6" t="inlineStr">
        <is>
          <t>Select pork slices, cut Unknown</t>
        </is>
      </c>
      <c r="D544" s="0" t="n"/>
      <c r="E544" s="7" t="inlineStr">
        <is>
          <t>Fresh Food</t>
        </is>
      </c>
      <c r="F544" s="7" t="inlineStr">
        <is>
          <t>Meat</t>
        </is>
      </c>
      <c r="G544" s="0" t="inlineStr">
        <is>
          <t>Unknown</t>
        </is>
      </c>
      <c r="H544" s="0" t="n"/>
      <c r="I544" s="7">
        <f>IF(H544="","",VALUE(LEFT(H544,FIND("/",H544)-1))/VALUE(MID(H544,FIND("/",H544)+1,99)))</f>
        <v/>
      </c>
      <c r="J544" s="0" t="inlineStr">
        <is>
          <t>Top shelf right; label obscured by reflection.</t>
        </is>
      </c>
      <c r="K544" s="0" t="inlineStr">
        <is>
          <t>https://www.pns.hk/en/food-beverages/pork/c/04150210</t>
        </is>
      </c>
      <c r="L544" s="0" t="inlineStr">
        <is>
          <t>IMG_7073.HEIC</t>
        </is>
      </c>
    </row>
    <row r="545">
      <c r="A545" s="0" t="n">
        <v>540</v>
      </c>
      <c r="B545" s="6" t="inlineStr">
        <is>
          <t>Select</t>
        </is>
      </c>
      <c r="C545" s="6" t="inlineStr">
        <is>
          <t>Select pork belly/sliced pork</t>
        </is>
      </c>
      <c r="D545" s="0" t="n">
        <v>39.9</v>
      </c>
      <c r="E545" s="7" t="inlineStr">
        <is>
          <t>Fresh Food</t>
        </is>
      </c>
      <c r="F545" s="7" t="inlineStr">
        <is>
          <t>Meat</t>
        </is>
      </c>
      <c r="G545" s="0" t="inlineStr">
        <is>
          <t>Unknown</t>
        </is>
      </c>
      <c r="H545" s="0" t="n"/>
      <c r="I545" s="7">
        <f>IF(H545="","",VALUE(LEFT(H545,FIND("/",H545)-1))/VALUE(MID(H545,FIND("/",H545)+1,99)))</f>
        <v/>
      </c>
      <c r="J545" s="0" t="inlineStr">
        <is>
          <t>Middle shelf left-center; visible no-hormones sticker and price approximately $39.90.</t>
        </is>
      </c>
      <c r="K545" s="0" t="inlineStr">
        <is>
          <t>https://www.pns.hk/en/food-beverages/pork/c/04150210</t>
        </is>
      </c>
      <c r="L545" s="0" t="inlineStr">
        <is>
          <t>IMG_7073.HEIC</t>
        </is>
      </c>
    </row>
    <row r="546">
      <c r="A546" s="0" t="n">
        <v>541</v>
      </c>
      <c r="B546" s="6" t="inlineStr">
        <is>
          <t>Select</t>
        </is>
      </c>
      <c r="C546" s="6" t="inlineStr">
        <is>
          <t>Select pork slices, cut Unknown</t>
        </is>
      </c>
      <c r="D546" s="0" t="n"/>
      <c r="E546" s="7" t="inlineStr">
        <is>
          <t>Fresh Food</t>
        </is>
      </c>
      <c r="F546" s="7" t="inlineStr">
        <is>
          <t>Meat</t>
        </is>
      </c>
      <c r="G546" s="0" t="inlineStr">
        <is>
          <t>Unknown</t>
        </is>
      </c>
      <c r="H546" s="0" t="n"/>
      <c r="I546" s="7">
        <f>IF(H546="","",VALUE(LEFT(H546,FIND("/",H546)-1))/VALUE(MID(H546,FIND("/",H546)+1,99)))</f>
        <v/>
      </c>
      <c r="J546" s="0" t="inlineStr">
        <is>
          <t>Middle shelf right; product label visible but unreadable.</t>
        </is>
      </c>
      <c r="K546" s="0" t="inlineStr">
        <is>
          <t>https://www.pns.hk/en/food-beverages/pork/c/04150210</t>
        </is>
      </c>
      <c r="L546" s="0" t="inlineStr">
        <is>
          <t>IMG_7073.HEIC</t>
        </is>
      </c>
    </row>
    <row r="547">
      <c r="A547" s="0" t="n">
        <v>542</v>
      </c>
      <c r="B547" s="6" t="inlineStr">
        <is>
          <t>Unknown</t>
        </is>
      </c>
      <c r="C547" s="6" t="inlineStr">
        <is>
          <t>Chilled beef/pork tray, product Unknown</t>
        </is>
      </c>
      <c r="D547" s="0" t="n">
        <v>42</v>
      </c>
      <c r="E547" s="7" t="inlineStr">
        <is>
          <t>Fresh Food</t>
        </is>
      </c>
      <c r="F547" s="7" t="inlineStr">
        <is>
          <t>Meat</t>
        </is>
      </c>
      <c r="G547" s="0" t="inlineStr">
        <is>
          <t>Unknown</t>
        </is>
      </c>
      <c r="H547" s="0" t="n"/>
      <c r="I547" s="7">
        <f>IF(H547="","",VALUE(LEFT(H547,FIND("/",H547)-1))/VALUE(MID(H547,FIND("/",H547)+1,99)))</f>
        <v/>
      </c>
      <c r="J547" s="0" t="inlineStr">
        <is>
          <t>Lower shelf left; pink label and $42.0 visible; exact species/cut uncertain.</t>
        </is>
      </c>
      <c r="K547" s="0" t="str"/>
      <c r="L547" s="0" t="inlineStr">
        <is>
          <t>IMG_7073.HEIC</t>
        </is>
      </c>
    </row>
    <row r="548">
      <c r="A548" s="0" t="n">
        <v>543</v>
      </c>
      <c r="B548" s="6" t="inlineStr">
        <is>
          <t>Unknown</t>
        </is>
      </c>
      <c r="C548" s="6" t="inlineStr">
        <is>
          <t>Chilled prepared meat tray, product Unknown</t>
        </is>
      </c>
      <c r="D548" s="0" t="n">
        <v>35</v>
      </c>
      <c r="E548" s="7" t="inlineStr">
        <is>
          <t>Fresh Food</t>
        </is>
      </c>
      <c r="F548" s="7" t="inlineStr">
        <is>
          <t>Meat</t>
        </is>
      </c>
      <c r="G548" s="0" t="inlineStr">
        <is>
          <t>Unknown</t>
        </is>
      </c>
      <c r="H548" s="0" t="n"/>
      <c r="I548" s="7">
        <f>IF(H548="","",VALUE(LEFT(H548,FIND("/",H548)-1))/VALUE(MID(H548,FIND("/",H548)+1,99)))</f>
        <v/>
      </c>
      <c r="J548" s="0" t="inlineStr">
        <is>
          <t>Lower shelf center; price approximately $35.0; label unreadable.</t>
        </is>
      </c>
      <c r="K548" s="0" t="str"/>
      <c r="L548" s="0" t="inlineStr">
        <is>
          <t>IMG_7073.HEIC</t>
        </is>
      </c>
    </row>
    <row r="549">
      <c r="A549" s="0" t="n">
        <v>544</v>
      </c>
      <c r="B549" s="6" t="inlineStr">
        <is>
          <t>Select</t>
        </is>
      </c>
      <c r="C549" s="6" t="inlineStr">
        <is>
          <t>Select sliced pork/belly</t>
        </is>
      </c>
      <c r="D549" s="0" t="n"/>
      <c r="E549" s="7" t="inlineStr">
        <is>
          <t>Fresh Food</t>
        </is>
      </c>
      <c r="F549" s="7" t="inlineStr">
        <is>
          <t>Meat</t>
        </is>
      </c>
      <c r="G549" s="0" t="inlineStr">
        <is>
          <t>Unknown</t>
        </is>
      </c>
      <c r="H549" s="0" t="n"/>
      <c r="I549" s="7">
        <f>IF(H549="","",VALUE(LEFT(H549,FIND("/",H549)-1))/VALUE(MID(H549,FIND("/",H549)+1,99)))</f>
        <v/>
      </c>
      <c r="J549" s="0" t="inlineStr">
        <is>
          <t>Top shelf, left; exact weight and price unreadable.</t>
        </is>
      </c>
      <c r="K549" s="0" t="inlineStr">
        <is>
          <t>https://www.pns.hk/en/food-beverages/pork/c/04150210</t>
        </is>
      </c>
      <c r="L549" s="0" t="inlineStr">
        <is>
          <t>IMG_7074.HEIC</t>
        </is>
      </c>
    </row>
    <row r="550">
      <c r="A550" s="0" t="n">
        <v>545</v>
      </c>
      <c r="B550" s="6" t="inlineStr">
        <is>
          <t>Select</t>
        </is>
      </c>
      <c r="C550" s="6" t="inlineStr">
        <is>
          <t>Select pork ribs/chunks</t>
        </is>
      </c>
      <c r="D550" s="0" t="n">
        <v>36.9</v>
      </c>
      <c r="E550" s="7" t="inlineStr">
        <is>
          <t>Fresh Food</t>
        </is>
      </c>
      <c r="F550" s="7" t="inlineStr">
        <is>
          <t>Meat</t>
        </is>
      </c>
      <c r="G550" s="0" t="inlineStr">
        <is>
          <t>Unknown</t>
        </is>
      </c>
      <c r="H550" s="0" t="n"/>
      <c r="I550" s="7">
        <f>IF(H550="","",VALUE(LEFT(H550,FIND("/",H550)-1))/VALUE(MID(H550,FIND("/",H550)+1,99)))</f>
        <v/>
      </c>
      <c r="J550" s="0" t="inlineStr">
        <is>
          <t>Top shelf center-left; no-hormones sticker; price approximately $36.90.</t>
        </is>
      </c>
      <c r="K550" s="0" t="inlineStr">
        <is>
          <t>https://www.pns.hk/en/food-beverages/pork/c/04150210</t>
        </is>
      </c>
      <c r="L550" s="0" t="inlineStr">
        <is>
          <t>IMG_7074.HEIC</t>
        </is>
      </c>
    </row>
    <row r="551">
      <c r="A551" s="0" t="n">
        <v>546</v>
      </c>
      <c r="B551" s="6" t="inlineStr">
        <is>
          <t>Select</t>
        </is>
      </c>
      <c r="C551" s="6" t="inlineStr">
        <is>
          <t>Select pork chunks</t>
        </is>
      </c>
      <c r="D551" s="0" t="n"/>
      <c r="E551" s="7" t="inlineStr">
        <is>
          <t>Fresh Food</t>
        </is>
      </c>
      <c r="F551" s="7" t="inlineStr">
        <is>
          <t>Meat</t>
        </is>
      </c>
      <c r="G551" s="0" t="inlineStr">
        <is>
          <t>Unknown</t>
        </is>
      </c>
      <c r="H551" s="0" t="n"/>
      <c r="I551" s="7">
        <f>IF(H551="","",VALUE(LEFT(H551,FIND("/",H551)-1))/VALUE(MID(H551,FIND("/",H551)+1,99)))</f>
        <v/>
      </c>
      <c r="J551" s="0" t="inlineStr">
        <is>
          <t>Top shelf center-right; price/weight unreadable.</t>
        </is>
      </c>
      <c r="K551" s="0" t="inlineStr">
        <is>
          <t>https://www.pns.hk/en/food-beverages/pork/c/04150210</t>
        </is>
      </c>
      <c r="L551" s="0" t="inlineStr">
        <is>
          <t>IMG_7074.HEIC</t>
        </is>
      </c>
    </row>
    <row r="552">
      <c r="A552" s="0" t="n">
        <v>547</v>
      </c>
      <c r="B552" s="6" t="inlineStr">
        <is>
          <t>Unknown</t>
        </is>
      </c>
      <c r="C552" s="6" t="inlineStr">
        <is>
          <t>Pork mince/ground pork</t>
        </is>
      </c>
      <c r="D552" s="0" t="n"/>
      <c r="E552" s="7" t="inlineStr">
        <is>
          <t>Fresh Food</t>
        </is>
      </c>
      <c r="F552" s="7" t="inlineStr">
        <is>
          <t>Meat</t>
        </is>
      </c>
      <c r="G552" s="0" t="inlineStr">
        <is>
          <t>Unknown</t>
        </is>
      </c>
      <c r="H552" s="0" t="n"/>
      <c r="I552" s="7">
        <f>IF(H552="","",VALUE(LEFT(H552,FIND("/",H552)-1))/VALUE(MID(H552,FIND("/",H552)+1,99)))</f>
        <v/>
      </c>
      <c r="J552" s="0" t="inlineStr">
        <is>
          <t>Middle shelf left-center; label unreadable.</t>
        </is>
      </c>
      <c r="K552" s="0" t="str"/>
      <c r="L552" s="0" t="inlineStr">
        <is>
          <t>IMG_7074.HEIC</t>
        </is>
      </c>
    </row>
    <row r="553">
      <c r="A553" s="0" t="n">
        <v>548</v>
      </c>
      <c r="B553" s="6" t="inlineStr">
        <is>
          <t>Unknown</t>
        </is>
      </c>
      <c r="C553" s="6" t="inlineStr">
        <is>
          <t>Pork slices</t>
        </is>
      </c>
      <c r="D553" s="0" t="n"/>
      <c r="E553" s="7" t="inlineStr">
        <is>
          <t>Fresh Food</t>
        </is>
      </c>
      <c r="F553" s="7" t="inlineStr">
        <is>
          <t>Meat</t>
        </is>
      </c>
      <c r="G553" s="0" t="inlineStr">
        <is>
          <t>Unknown</t>
        </is>
      </c>
      <c r="H553" s="0" t="n"/>
      <c r="I553" s="7">
        <f>IF(H553="","",VALUE(LEFT(H553,FIND("/",H553)-1))/VALUE(MID(H553,FIND("/",H553)+1,99)))</f>
        <v/>
      </c>
      <c r="J553" s="0" t="inlineStr">
        <is>
          <t>Middle shelf right; exact product unreadable.</t>
        </is>
      </c>
      <c r="K553" s="0" t="str"/>
      <c r="L553" s="0" t="inlineStr">
        <is>
          <t>IMG_7074.HEIC</t>
        </is>
      </c>
    </row>
    <row r="554">
      <c r="A554" s="0" t="n">
        <v>549</v>
      </c>
      <c r="B554" s="6" t="inlineStr">
        <is>
          <t>Unknown</t>
        </is>
      </c>
      <c r="C554" s="6" t="inlineStr">
        <is>
          <t>Beef steak/sliced beef, cut Unknown</t>
        </is>
      </c>
      <c r="D554" s="0" t="n"/>
      <c r="E554" s="7" t="inlineStr">
        <is>
          <t>Fresh Food</t>
        </is>
      </c>
      <c r="F554" s="7" t="inlineStr">
        <is>
          <t>Meat</t>
        </is>
      </c>
      <c r="G554" s="0" t="inlineStr">
        <is>
          <t>Unknown</t>
        </is>
      </c>
      <c r="H554" s="0" t="n"/>
      <c r="I554" s="7">
        <f>IF(H554="","",VALUE(LEFT(H554,FIND("/",H554)-1))/VALUE(MID(H554,FIND("/",H554)+1,99)))</f>
        <v/>
      </c>
      <c r="J554" s="0" t="inlineStr">
        <is>
          <t>Lower shelf; product facings partly cropped and labels unreadable.</t>
        </is>
      </c>
      <c r="K554" s="0" t="str"/>
      <c r="L554" s="0" t="inlineStr">
        <is>
          <t>IMG_7074.HEIC</t>
        </is>
      </c>
    </row>
    <row r="555">
      <c r="A555" s="0" t="n">
        <v>550</v>
      </c>
      <c r="B555" s="6" t="inlineStr">
        <is>
          <t>Unknown</t>
        </is>
      </c>
      <c r="C555" s="6" t="inlineStr">
        <is>
          <t>Chopped meat/offal tray, product Unknown</t>
        </is>
      </c>
      <c r="D555" s="0" t="n"/>
      <c r="E555" s="7" t="inlineStr">
        <is>
          <t>Fresh Food</t>
        </is>
      </c>
      <c r="F555" s="7" t="inlineStr">
        <is>
          <t>Meat</t>
        </is>
      </c>
      <c r="G555" s="0" t="inlineStr">
        <is>
          <t>Unknown</t>
        </is>
      </c>
      <c r="H555" s="0" t="n"/>
      <c r="I555" s="7">
        <f>IF(H555="","",VALUE(LEFT(H555,FIND("/",H555)-1))/VALUE(MID(H555,FIND("/",H555)+1,99)))</f>
        <v/>
      </c>
      <c r="J555" s="0" t="inlineStr">
        <is>
          <t>Bottom shelf; multiple similar trays consolidated within this image.</t>
        </is>
      </c>
      <c r="K555" s="0" t="str"/>
      <c r="L555" s="0" t="inlineStr">
        <is>
          <t>IMG_7074.HEIC</t>
        </is>
      </c>
    </row>
    <row r="556">
      <c r="A556" s="0" t="n">
        <v>551</v>
      </c>
      <c r="B556" s="6" t="inlineStr">
        <is>
          <t>Unknown</t>
        </is>
      </c>
      <c r="C556" s="6" t="inlineStr">
        <is>
          <t>Marinated pork/steak tray, cut Unknown</t>
        </is>
      </c>
      <c r="D556" s="0" t="n">
        <v>134.9</v>
      </c>
      <c r="E556" s="7" t="inlineStr">
        <is>
          <t>Fresh Food</t>
        </is>
      </c>
      <c r="F556" s="7" t="inlineStr">
        <is>
          <t>Meat</t>
        </is>
      </c>
      <c r="G556" s="0" t="inlineStr">
        <is>
          <t>Unknown</t>
        </is>
      </c>
      <c r="H556" s="0" t="n"/>
      <c r="I556" s="7">
        <f>IF(H556="","",VALUE(LEFT(H556,FIND("/",H556)-1))/VALUE(MID(H556,FIND("/",H556)+1,99)))</f>
        <v/>
      </c>
      <c r="J556" s="0" t="inlineStr">
        <is>
          <t>Upper-middle shelf left; label appears approximately $134.90; exact weight/cut unreadable.</t>
        </is>
      </c>
      <c r="K556" s="0" t="str"/>
      <c r="L556" s="0" t="inlineStr">
        <is>
          <t>IMG_7075.HEIC</t>
        </is>
      </c>
    </row>
    <row r="557">
      <c r="A557" s="0" t="n">
        <v>552</v>
      </c>
      <c r="B557" s="6" t="inlineStr">
        <is>
          <t>Unknown</t>
        </is>
      </c>
      <c r="C557" s="6" t="inlineStr">
        <is>
          <t>Marinated pork tray, cut Unknown</t>
        </is>
      </c>
      <c r="D557" s="0" t="n"/>
      <c r="E557" s="7" t="inlineStr">
        <is>
          <t>Fresh Food</t>
        </is>
      </c>
      <c r="F557" s="7" t="inlineStr">
        <is>
          <t>Meat</t>
        </is>
      </c>
      <c r="G557" s="0" t="inlineStr">
        <is>
          <t>Unknown</t>
        </is>
      </c>
      <c r="H557" s="0" t="n"/>
      <c r="I557" s="7">
        <f>IF(H557="","",VALUE(LEFT(H557,FIND("/",H557)-1))/VALUE(MID(H557,FIND("/",H557)+1,99)))</f>
        <v/>
      </c>
      <c r="J557" s="0" t="inlineStr">
        <is>
          <t>Upper-middle shelf center; product name and price unreadable.</t>
        </is>
      </c>
      <c r="K557" s="0" t="str"/>
      <c r="L557" s="0" t="inlineStr">
        <is>
          <t>IMG_7075.HEIC</t>
        </is>
      </c>
    </row>
    <row r="558">
      <c r="A558" s="0" t="n">
        <v>553</v>
      </c>
      <c r="B558" s="6" t="inlineStr">
        <is>
          <t>Unknown</t>
        </is>
      </c>
      <c r="C558" s="6" t="inlineStr">
        <is>
          <t>Mixed marinated meat tray</t>
        </is>
      </c>
      <c r="D558" s="0" t="n">
        <v>58.9</v>
      </c>
      <c r="E558" s="7" t="inlineStr">
        <is>
          <t>Fresh Food</t>
        </is>
      </c>
      <c r="F558" s="7" t="inlineStr">
        <is>
          <t>Meat</t>
        </is>
      </c>
      <c r="G558" s="0" t="inlineStr">
        <is>
          <t>Unknown</t>
        </is>
      </c>
      <c r="H558" s="0" t="n"/>
      <c r="I558" s="7">
        <f>IF(H558="","",VALUE(LEFT(H558,FIND("/",H558)-1))/VALUE(MID(H558,FIND("/",H558)+1,99)))</f>
        <v/>
      </c>
      <c r="J558" s="0" t="inlineStr">
        <is>
          <t>Upper-middle shelf right; price approximately $58.90; label unreadable.</t>
        </is>
      </c>
      <c r="K558" s="0" t="str"/>
      <c r="L558" s="0" t="inlineStr">
        <is>
          <t>IMG_7075.HEIC</t>
        </is>
      </c>
    </row>
    <row r="559">
      <c r="A559" s="0" t="n">
        <v>554</v>
      </c>
      <c r="B559" s="6" t="inlineStr">
        <is>
          <t>Unknown</t>
        </is>
      </c>
      <c r="C559" s="6" t="inlineStr">
        <is>
          <t>Pork/offal pieces</t>
        </is>
      </c>
      <c r="D559" s="0" t="n"/>
      <c r="E559" s="7" t="inlineStr">
        <is>
          <t>Fresh Food</t>
        </is>
      </c>
      <c r="F559" s="7" t="inlineStr">
        <is>
          <t>Meat</t>
        </is>
      </c>
      <c r="G559" s="0" t="inlineStr">
        <is>
          <t>Unknown</t>
        </is>
      </c>
      <c r="H559" s="0" t="n"/>
      <c r="I559" s="7">
        <f>IF(H559="","",VALUE(LEFT(H559,FIND("/",H559)-1))/VALUE(MID(H559,FIND("/",H559)+1,99)))</f>
        <v/>
      </c>
      <c r="J559" s="0" t="inlineStr">
        <is>
          <t>Middle shelf left-to-center; exact cut unreadable.</t>
        </is>
      </c>
      <c r="K559" s="0" t="str"/>
      <c r="L559" s="0" t="inlineStr">
        <is>
          <t>IMG_7075.HEIC</t>
        </is>
      </c>
    </row>
    <row r="560">
      <c r="A560" s="0" t="n">
        <v>555</v>
      </c>
      <c r="B560" s="6" t="inlineStr">
        <is>
          <t>Select</t>
        </is>
      </c>
      <c r="C560" s="6" t="inlineStr">
        <is>
          <t>Ground pork/minced pork</t>
        </is>
      </c>
      <c r="D560" s="0" t="n"/>
      <c r="E560" s="7" t="inlineStr">
        <is>
          <t>Fresh Food</t>
        </is>
      </c>
      <c r="F560" s="7" t="inlineStr">
        <is>
          <t>Meat</t>
        </is>
      </c>
      <c r="G560" s="0" t="inlineStr">
        <is>
          <t>Unknown</t>
        </is>
      </c>
      <c r="H560" s="0" t="n"/>
      <c r="I560" s="7">
        <f>IF(H560="","",VALUE(LEFT(H560,FIND("/",H560)-1))/VALUE(MID(H560,FIND("/",H560)+1,99)))</f>
        <v/>
      </c>
      <c r="J560" s="0" t="inlineStr">
        <is>
          <t>Middle shelf center-right; Select label visible; exact price unreadable.</t>
        </is>
      </c>
      <c r="K560" s="0" t="inlineStr">
        <is>
          <t>https://www.pns.hk/en/food-beverages/pork/c/04150210</t>
        </is>
      </c>
      <c r="L560" s="0" t="inlineStr">
        <is>
          <t>IMG_7075.HEIC</t>
        </is>
      </c>
    </row>
    <row r="561">
      <c r="A561" s="0" t="n">
        <v>556</v>
      </c>
      <c r="B561" s="6" t="inlineStr">
        <is>
          <t>Select</t>
        </is>
      </c>
      <c r="C561" s="6" t="inlineStr">
        <is>
          <t>Chicken breast fillets</t>
        </is>
      </c>
      <c r="D561" s="0" t="n"/>
      <c r="E561" s="7" t="inlineStr">
        <is>
          <t>Fresh Food</t>
        </is>
      </c>
      <c r="F561" s="7" t="inlineStr">
        <is>
          <t>Meat</t>
        </is>
      </c>
      <c r="G561" s="0" t="inlineStr">
        <is>
          <t>Unknown</t>
        </is>
      </c>
      <c r="H561" s="0" t="n"/>
      <c r="I561" s="7">
        <f>IF(H561="","",VALUE(LEFT(H561,FIND("/",H561)-1))/VALUE(MID(H561,FIND("/",H561)+1,99)))</f>
        <v/>
      </c>
      <c r="J561" s="0" t="inlineStr">
        <is>
          <t>Bottom shelf left/center; Select label visible; prices unreadable.</t>
        </is>
      </c>
      <c r="K561" s="0" t="inlineStr">
        <is>
          <t>https://www.pns.hk/en/meat-and-seafood-/c/meatseafood26</t>
        </is>
      </c>
      <c r="L561" s="0" t="inlineStr">
        <is>
          <t>IMG_7075.HEIC</t>
        </is>
      </c>
    </row>
    <row r="562">
      <c r="A562" s="0" t="n">
        <v>557</v>
      </c>
      <c r="B562" s="6" t="inlineStr">
        <is>
          <t>Select</t>
        </is>
      </c>
      <c r="C562" s="6" t="inlineStr">
        <is>
          <t>Chicken thigh/drumstick pieces</t>
        </is>
      </c>
      <c r="D562" s="0" t="n"/>
      <c r="E562" s="7" t="inlineStr">
        <is>
          <t>Fresh Food</t>
        </is>
      </c>
      <c r="F562" s="7" t="inlineStr">
        <is>
          <t>Meat</t>
        </is>
      </c>
      <c r="G562" s="0" t="inlineStr">
        <is>
          <t>Unknown</t>
        </is>
      </c>
      <c r="H562" s="0" t="n"/>
      <c r="I562" s="7">
        <f>IF(H562="","",VALUE(LEFT(H562,FIND("/",H562)-1))/VALUE(MID(H562,FIND("/",H562)+1,99)))</f>
        <v/>
      </c>
      <c r="J562" s="0" t="inlineStr">
        <is>
          <t>Bottom shelf right; exact weight/price unreadable.</t>
        </is>
      </c>
      <c r="K562" s="0" t="inlineStr">
        <is>
          <t>https://www.pns.hk/en/meat-and-seafood-/c/meatseafood26</t>
        </is>
      </c>
      <c r="L562" s="0" t="inlineStr">
        <is>
          <t>IMG_7075.HEIC</t>
        </is>
      </c>
    </row>
    <row r="563">
      <c r="A563" s="0" t="n">
        <v>558</v>
      </c>
      <c r="B563" s="6" t="inlineStr">
        <is>
          <t>Salmon Farm</t>
        </is>
      </c>
      <c r="C563" s="6" t="inlineStr">
        <is>
          <t>Salmon Farm Classic smoked salmon</t>
        </is>
      </c>
      <c r="D563" s="0" t="n">
        <v>77.90000000000001</v>
      </c>
      <c r="E563" s="7" t="inlineStr">
        <is>
          <t>Fresh Food</t>
        </is>
      </c>
      <c r="F563" s="7" t="inlineStr">
        <is>
          <t>Seafood</t>
        </is>
      </c>
      <c r="G563" s="0" t="inlineStr">
        <is>
          <t>100G</t>
        </is>
      </c>
      <c r="H563" s="0" t="n"/>
      <c r="I563" s="7">
        <f>IF(H563="","",VALUE(LEFT(H563,FIND("/",H563)-1))/VALUE(MID(H563,FIND("/",H563)+1,99)))</f>
        <v/>
      </c>
      <c r="J563" s="0" t="inlineStr">
        <is>
          <t>Three identical front-facing packs consolidated; price appears about $77.9; product text and 100 g are legible, exact promo tag partly obscured.</t>
        </is>
      </c>
      <c r="K563" s="0" t="inlineStr">
        <is>
          <t>https://www.pns.hk/en/smoked-salmon/p/BP_48124</t>
        </is>
      </c>
      <c r="L563" s="0" t="inlineStr">
        <is>
          <t>IMG_7076.HEIC</t>
        </is>
      </c>
    </row>
    <row r="564">
      <c r="A564" s="0" t="n">
        <v>559</v>
      </c>
      <c r="B564" s="6" t="inlineStr">
        <is>
          <t>Unknown</t>
        </is>
      </c>
      <c r="C564" s="6" t="inlineStr">
        <is>
          <t>Japanese-style salad chicken, herb/seasoned variant</t>
        </is>
      </c>
      <c r="D564" s="0" t="n">
        <v>25</v>
      </c>
      <c r="E564" s="7" t="inlineStr">
        <is>
          <t>Fresh Food</t>
        </is>
      </c>
      <c r="F564" s="7" t="inlineStr">
        <is>
          <t>Meat</t>
        </is>
      </c>
      <c r="G564" s="0" t="inlineStr">
        <is>
          <t>Unknown</t>
        </is>
      </c>
      <c r="H564" s="0" t="inlineStr">
        <is>
          <t>25.0/2</t>
        </is>
      </c>
      <c r="I564" s="7">
        <f>IF(H564="","",VALUE(LEFT(H564,FIND("/",H564)-1))/VALUE(MID(H564,FIND("/",H564)+1,99)))</f>
        <v/>
      </c>
      <c r="J564" s="0" t="inlineStr">
        <is>
          <t>Shelf tag shows approximately $25.0/2; exact brand and variant text partly unreadable.</t>
        </is>
      </c>
      <c r="K564" s="0" t="str"/>
      <c r="L564" s="0" t="inlineStr">
        <is>
          <t>IMG_7076.HEIC</t>
        </is>
      </c>
    </row>
    <row r="565">
      <c r="A565" s="0" t="n">
        <v>560</v>
      </c>
      <c r="B565" s="6" t="inlineStr">
        <is>
          <t>Samlip</t>
        </is>
      </c>
      <c r="C565" s="6" t="inlineStr">
        <is>
          <t>Samlip Sausage Original</t>
        </is>
      </c>
      <c r="D565" s="0" t="n"/>
      <c r="E565" s="7" t="inlineStr">
        <is>
          <t>Fresh Food</t>
        </is>
      </c>
      <c r="F565" s="7" t="inlineStr">
        <is>
          <t>Meat</t>
        </is>
      </c>
      <c r="G565" s="0" t="inlineStr">
        <is>
          <t>350G</t>
        </is>
      </c>
      <c r="H565" s="0" t="n"/>
      <c r="I565" s="7">
        <f>IF(H565="","",VALUE(LEFT(H565,FIND("/",H565)-1))/VALUE(MID(H565,FIND("/",H565)+1,99)))</f>
        <v/>
      </c>
      <c r="J565" s="0" t="inlineStr">
        <is>
          <t>Front pack reads Original; price tag obscured.</t>
        </is>
      </c>
      <c r="K565" s="0" t="inlineStr">
        <is>
          <t>https://www.pns.hk/en/all-brands/b/130311/samlip</t>
        </is>
      </c>
      <c r="L565" s="0" t="inlineStr">
        <is>
          <t>IMG_7076.HEIC</t>
        </is>
      </c>
    </row>
    <row r="566">
      <c r="A566" s="0" t="n">
        <v>561</v>
      </c>
      <c r="B566" s="6" t="inlineStr">
        <is>
          <t>Samlip</t>
        </is>
      </c>
      <c r="C566" s="6" t="inlineStr">
        <is>
          <t>Samlip Sausage Smoked</t>
        </is>
      </c>
      <c r="D566" s="0" t="n"/>
      <c r="E566" s="7" t="inlineStr">
        <is>
          <t>Fresh Food</t>
        </is>
      </c>
      <c r="F566" s="7" t="inlineStr">
        <is>
          <t>Meat</t>
        </is>
      </c>
      <c r="G566" s="0" t="inlineStr">
        <is>
          <t>350G</t>
        </is>
      </c>
      <c r="H566" s="0" t="n"/>
      <c r="I566" s="7">
        <f>IF(H566="","",VALUE(LEFT(H566,FIND("/",H566)-1))/VALUE(MID(H566,FIND("/",H566)+1,99)))</f>
        <v/>
      </c>
      <c r="J566" s="0" t="inlineStr">
        <is>
          <t>Front pack reads Smoked; price tag obscured.</t>
        </is>
      </c>
      <c r="K566" s="0" t="inlineStr">
        <is>
          <t>https://www.pns.hk/en/all-brands/b/130311/samlip</t>
        </is>
      </c>
      <c r="L566" s="0" t="inlineStr">
        <is>
          <t>IMG_7076.HEIC</t>
        </is>
      </c>
    </row>
    <row r="567">
      <c r="A567" s="0" t="n">
        <v>562</v>
      </c>
      <c r="B567" s="6" t="inlineStr">
        <is>
          <t>Samlip</t>
        </is>
      </c>
      <c r="C567" s="6" t="inlineStr">
        <is>
          <t>Samlip Sausage Basil</t>
        </is>
      </c>
      <c r="D567" s="0" t="n"/>
      <c r="E567" s="7" t="inlineStr">
        <is>
          <t>Fresh Food</t>
        </is>
      </c>
      <c r="F567" s="7" t="inlineStr">
        <is>
          <t>Meat</t>
        </is>
      </c>
      <c r="G567" s="0" t="inlineStr">
        <is>
          <t>350G</t>
        </is>
      </c>
      <c r="H567" s="0" t="n"/>
      <c r="I567" s="7">
        <f>IF(H567="","",VALUE(LEFT(H567,FIND("/",H567)-1))/VALUE(MID(H567,FIND("/",H567)+1,99)))</f>
        <v/>
      </c>
      <c r="J567" s="0" t="inlineStr">
        <is>
          <t>Front pack reads Basil; price tag obscured.</t>
        </is>
      </c>
      <c r="K567" s="0" t="inlineStr">
        <is>
          <t>https://www.pns.hk/en/all-brands/b/130311/samlip</t>
        </is>
      </c>
      <c r="L567" s="0" t="inlineStr">
        <is>
          <t>IMG_7076.HEIC</t>
        </is>
      </c>
    </row>
    <row r="568">
      <c r="A568" s="0" t="n">
        <v>563</v>
      </c>
      <c r="B568" s="6" t="inlineStr">
        <is>
          <t>Unknown</t>
        </is>
      </c>
      <c r="C568" s="6" t="inlineStr">
        <is>
          <t>Packaged sliced/processed meat, variant Unknown</t>
        </is>
      </c>
      <c r="D568" s="0" t="n"/>
      <c r="E568" s="7" t="inlineStr">
        <is>
          <t>Fresh Food</t>
        </is>
      </c>
      <c r="F568" s="7" t="inlineStr">
        <is>
          <t>Meat</t>
        </is>
      </c>
      <c r="G568" s="0" t="inlineStr">
        <is>
          <t>Unknown</t>
        </is>
      </c>
      <c r="H568" s="0" t="n"/>
      <c r="I568" s="7">
        <f>IF(H568="","",VALUE(LEFT(H568,FIND("/",H568)-1))/VALUE(MID(H568,FIND("/",H568)+1,99)))</f>
        <v/>
      </c>
      <c r="J568" s="0" t="inlineStr">
        <is>
          <t>Lower shelf; several vacuum packs visible but labels unreadable.</t>
        </is>
      </c>
      <c r="K568" s="0" t="str"/>
      <c r="L568" s="0" t="inlineStr">
        <is>
          <t>IMG_7076.HEIC</t>
        </is>
      </c>
    </row>
    <row r="569">
      <c r="A569" s="0" t="n">
        <v>564</v>
      </c>
      <c r="B569" s="6" t="inlineStr">
        <is>
          <t>Unknown</t>
        </is>
      </c>
      <c r="C569" s="6" t="inlineStr">
        <is>
          <t>Packaged burger patties/processed meat, variant Unknown</t>
        </is>
      </c>
      <c r="D569" s="0" t="n"/>
      <c r="E569" s="7" t="inlineStr">
        <is>
          <t>Fresh Food</t>
        </is>
      </c>
      <c r="F569" s="7" t="inlineStr">
        <is>
          <t>Meat</t>
        </is>
      </c>
      <c r="G569" s="0" t="inlineStr">
        <is>
          <t>Unknown</t>
        </is>
      </c>
      <c r="H569" s="0" t="n"/>
      <c r="I569" s="7">
        <f>IF(H569="","",VALUE(LEFT(H569,FIND("/",H569)-1))/VALUE(MID(H569,FIND("/",H569)+1,99)))</f>
        <v/>
      </c>
      <c r="J569" s="0" t="inlineStr">
        <is>
          <t>Bottom shelf; partial branded packaging visible, exact name/price unreadable.</t>
        </is>
      </c>
      <c r="K569" s="0" t="str"/>
      <c r="L569" s="0" t="inlineStr">
        <is>
          <t>IMG_7076.HEIC</t>
        </is>
      </c>
    </row>
    <row r="570">
      <c r="A570" s="0" t="n">
        <v>565</v>
      </c>
      <c r="B570" s="6" t="inlineStr">
        <is>
          <t>Unknown</t>
        </is>
      </c>
      <c r="C570" s="6" t="inlineStr">
        <is>
          <t>Farmer Chinese chilled pork tray</t>
        </is>
      </c>
      <c r="D570" s="0" t="n">
        <v>42</v>
      </c>
      <c r="E570" s="7" t="inlineStr">
        <is>
          <t>Fresh Food</t>
        </is>
      </c>
      <c r="F570" s="7" t="inlineStr">
        <is>
          <t>Meat</t>
        </is>
      </c>
      <c r="G570" s="0" t="inlineStr">
        <is>
          <t>Unknown</t>
        </is>
      </c>
      <c r="H570" s="0" t="n"/>
      <c r="I570" s="7">
        <f>IF(H570="","",VALUE(LEFT(H570,FIND("/",H570)-1))/VALUE(MID(H570,FIND("/",H570)+1,99)))</f>
        <v/>
      </c>
      <c r="J570" s="0" t="inlineStr">
        <is>
          <t>Top shelf left-center; price visibly $42.0; exact cut unreadable. Promo banner applies to this product family.</t>
        </is>
      </c>
      <c r="K570" s="0" t="str"/>
      <c r="L570" s="0" t="inlineStr">
        <is>
          <t>IMG_7077.HEIC</t>
        </is>
      </c>
    </row>
    <row r="571">
      <c r="A571" s="0" t="n">
        <v>566</v>
      </c>
      <c r="B571" s="6" t="inlineStr">
        <is>
          <t>Unknown</t>
        </is>
      </c>
      <c r="C571" s="6" t="inlineStr">
        <is>
          <t>Farmer Chinese chilled pork tray, variant Unknown</t>
        </is>
      </c>
      <c r="D571" s="0" t="n"/>
      <c r="E571" s="7" t="inlineStr">
        <is>
          <t>Fresh Food</t>
        </is>
      </c>
      <c r="F571" s="7" t="inlineStr">
        <is>
          <t>Meat</t>
        </is>
      </c>
      <c r="G571" s="0" t="inlineStr">
        <is>
          <t>Unknown</t>
        </is>
      </c>
      <c r="H571" s="0" t="n"/>
      <c r="I571" s="7">
        <f>IF(H571="","",VALUE(LEFT(H571,FIND("/",H571)-1))/VALUE(MID(H571,FIND("/",H571)+1,99)))</f>
        <v/>
      </c>
      <c r="J571" s="0" t="inlineStr">
        <is>
          <t>Top shelf right; same promotional display, price unreadable.</t>
        </is>
      </c>
      <c r="K571" s="0" t="str"/>
      <c r="L571" s="0" t="inlineStr">
        <is>
          <t>IMG_7077.HEIC</t>
        </is>
      </c>
    </row>
    <row r="572">
      <c r="A572" s="0" t="n">
        <v>567</v>
      </c>
      <c r="B572" s="6" t="inlineStr">
        <is>
          <t>Unknown</t>
        </is>
      </c>
      <c r="C572" s="6" t="inlineStr">
        <is>
          <t>Marinated pork tray</t>
        </is>
      </c>
      <c r="D572" s="0" t="n">
        <v>134.9</v>
      </c>
      <c r="E572" s="7" t="inlineStr">
        <is>
          <t>Fresh Food</t>
        </is>
      </c>
      <c r="F572" s="7" t="inlineStr">
        <is>
          <t>Meat</t>
        </is>
      </c>
      <c r="G572" s="0" t="inlineStr">
        <is>
          <t>Unknown</t>
        </is>
      </c>
      <c r="H572" s="0" t="n"/>
      <c r="I572" s="7">
        <f>IF(H572="","",VALUE(LEFT(H572,FIND("/",H572)-1))/VALUE(MID(H572,FIND("/",H572)+1,99)))</f>
        <v/>
      </c>
      <c r="J572" s="0" t="inlineStr">
        <is>
          <t>Middle shelf left; price approximately $134.90; exact cut unreadable.</t>
        </is>
      </c>
      <c r="K572" s="0" t="str"/>
      <c r="L572" s="0" t="inlineStr">
        <is>
          <t>IMG_7077.HEIC</t>
        </is>
      </c>
    </row>
    <row r="573">
      <c r="A573" s="0" t="n">
        <v>568</v>
      </c>
      <c r="B573" s="6" t="inlineStr">
        <is>
          <t>Unknown</t>
        </is>
      </c>
      <c r="C573" s="6" t="inlineStr">
        <is>
          <t>Mixed marinated meat tray with red pepper</t>
        </is>
      </c>
      <c r="D573" s="0" t="n">
        <v>58.9</v>
      </c>
      <c r="E573" s="7" t="inlineStr">
        <is>
          <t>Fresh Food</t>
        </is>
      </c>
      <c r="F573" s="7" t="inlineStr">
        <is>
          <t>Meat</t>
        </is>
      </c>
      <c r="G573" s="0" t="inlineStr">
        <is>
          <t>Unknown</t>
        </is>
      </c>
      <c r="H573" s="0" t="n"/>
      <c r="I573" s="7">
        <f>IF(H573="","",VALUE(LEFT(H573,FIND("/",H573)-1))/VALUE(MID(H573,FIND("/",H573)+1,99)))</f>
        <v/>
      </c>
      <c r="J573" s="0" t="inlineStr">
        <is>
          <t>Middle shelf center; price approximately $58.90; exact product name unreadable.</t>
        </is>
      </c>
      <c r="K573" s="0" t="str"/>
      <c r="L573" s="0" t="inlineStr">
        <is>
          <t>IMG_7077.HEIC</t>
        </is>
      </c>
    </row>
    <row r="574">
      <c r="A574" s="0" t="n">
        <v>569</v>
      </c>
      <c r="B574" s="6" t="inlineStr">
        <is>
          <t>Unknown</t>
        </is>
      </c>
      <c r="C574" s="6" t="inlineStr">
        <is>
          <t>Pork mince/ground pork</t>
        </is>
      </c>
      <c r="D574" s="0" t="n"/>
      <c r="E574" s="7" t="inlineStr">
        <is>
          <t>Fresh Food</t>
        </is>
      </c>
      <c r="F574" s="7" t="inlineStr">
        <is>
          <t>Meat</t>
        </is>
      </c>
      <c r="G574" s="0" t="inlineStr">
        <is>
          <t>Unknown</t>
        </is>
      </c>
      <c r="H574" s="0" t="n"/>
      <c r="I574" s="7">
        <f>IF(H574="","",VALUE(LEFT(H574,FIND("/",H574)-1))/VALUE(MID(H574,FIND("/",H574)+1,99)))</f>
        <v/>
      </c>
      <c r="J574" s="0" t="inlineStr">
        <is>
          <t>Lower shelf center; label unreadable.</t>
        </is>
      </c>
      <c r="K574" s="0" t="str"/>
      <c r="L574" s="0" t="inlineStr">
        <is>
          <t>IMG_7077.HEIC</t>
        </is>
      </c>
    </row>
    <row r="575">
      <c r="A575" s="0" t="n">
        <v>570</v>
      </c>
      <c r="B575" s="6" t="inlineStr">
        <is>
          <t>Select</t>
        </is>
      </c>
      <c r="C575" s="6" t="inlineStr">
        <is>
          <t>Chicken breast fillets</t>
        </is>
      </c>
      <c r="D575" s="0" t="n"/>
      <c r="E575" s="7" t="inlineStr">
        <is>
          <t>Fresh Food</t>
        </is>
      </c>
      <c r="F575" s="7" t="inlineStr">
        <is>
          <t>Meat</t>
        </is>
      </c>
      <c r="G575" s="0" t="inlineStr">
        <is>
          <t>Unknown</t>
        </is>
      </c>
      <c r="H575" s="0" t="n"/>
      <c r="I575" s="7">
        <f>IF(H575="","",VALUE(LEFT(H575,FIND("/",H575)-1))/VALUE(MID(H575,FIND("/",H575)+1,99)))</f>
        <v/>
      </c>
      <c r="J575" s="0" t="inlineStr">
        <is>
          <t>Bottom shelf left/center; Select label visible; price/weight unreadable.</t>
        </is>
      </c>
      <c r="K575" s="0" t="inlineStr">
        <is>
          <t>https://www.pns.hk/en/meat-and-seafood-/c/meatseafood26</t>
        </is>
      </c>
      <c r="L575" s="0" t="inlineStr">
        <is>
          <t>IMG_7077.HEIC</t>
        </is>
      </c>
    </row>
    <row r="576">
      <c r="A576" s="0" t="n">
        <v>571</v>
      </c>
      <c r="B576" s="6" t="inlineStr">
        <is>
          <t>Select</t>
        </is>
      </c>
      <c r="C576" s="6" t="inlineStr">
        <is>
          <t>Chicken thigh/drumstick pieces</t>
        </is>
      </c>
      <c r="D576" s="0" t="n"/>
      <c r="E576" s="7" t="inlineStr">
        <is>
          <t>Fresh Food</t>
        </is>
      </c>
      <c r="F576" s="7" t="inlineStr">
        <is>
          <t>Meat</t>
        </is>
      </c>
      <c r="G576" s="0" t="inlineStr">
        <is>
          <t>Unknown</t>
        </is>
      </c>
      <c r="H576" s="0" t="n"/>
      <c r="I576" s="7">
        <f>IF(H576="","",VALUE(LEFT(H576,FIND("/",H576)-1))/VALUE(MID(H576,FIND("/",H576)+1,99)))</f>
        <v/>
      </c>
      <c r="J576" s="0" t="inlineStr">
        <is>
          <t>Bottom shelf right; Select label visible; price/weight unreadable.</t>
        </is>
      </c>
      <c r="K576" s="0" t="inlineStr">
        <is>
          <t>https://www.pns.hk/en/meat-and-seafood-/c/meatseafood26</t>
        </is>
      </c>
      <c r="L576" s="0" t="inlineStr">
        <is>
          <t>IMG_7077.HEIC</t>
        </is>
      </c>
    </row>
    <row r="577">
      <c r="A577" s="0" t="n">
        <v>572</v>
      </c>
      <c r="B577" s="6" t="inlineStr">
        <is>
          <t>Unknown</t>
        </is>
      </c>
      <c r="C577" s="6" t="inlineStr">
        <is>
          <t>Unknown yellow-pack frozen seafood facings</t>
        </is>
      </c>
      <c r="D577" s="0" t="n"/>
      <c r="E577" s="7" t="inlineStr">
        <is>
          <t>Fresh Food</t>
        </is>
      </c>
      <c r="F577" s="7" t="inlineStr">
        <is>
          <t>Seafood</t>
        </is>
      </c>
      <c r="G577" s="0" t="inlineStr">
        <is>
          <t>Unknown</t>
        </is>
      </c>
      <c r="H577" s="0" t="n"/>
      <c r="I577" s="7">
        <f>IF(H577="","",VALUE(LEFT(H577,FIND("/",H577)-1))/VALUE(MID(H577,FIND("/",H577)+1,99)))</f>
        <v/>
      </c>
      <c r="J577" s="0" t="inlineStr">
        <is>
          <t>Several yellow packs; names/brands/sizes unreadable.</t>
        </is>
      </c>
      <c r="K577" s="0" t="str"/>
      <c r="L577" s="0" t="inlineStr">
        <is>
          <t>IMG_7078.HEIC</t>
        </is>
      </c>
    </row>
    <row r="578">
      <c r="A578" s="0" t="n">
        <v>573</v>
      </c>
      <c r="B578" s="6" t="inlineStr">
        <is>
          <t>Unknown</t>
        </is>
      </c>
      <c r="C578" s="6" t="inlineStr">
        <is>
          <t>Unknown clear/white frozen seafood facing</t>
        </is>
      </c>
      <c r="D578" s="0" t="n"/>
      <c r="E578" s="7" t="inlineStr">
        <is>
          <t>Fresh Food</t>
        </is>
      </c>
      <c r="F578" s="7" t="inlineStr">
        <is>
          <t>Seafood</t>
        </is>
      </c>
      <c r="G578" s="0" t="inlineStr">
        <is>
          <t>Unknown</t>
        </is>
      </c>
      <c r="H578" s="0" t="n"/>
      <c r="I578" s="7">
        <f>IF(H578="","",VALUE(LEFT(H578,FIND("/",H578)-1))/VALUE(MID(H578,FIND("/",H578)+1,99)))</f>
        <v/>
      </c>
      <c r="J578" s="0" t="inlineStr">
        <is>
          <t>Name/brand/size unreadable.</t>
        </is>
      </c>
      <c r="K578" s="0" t="str"/>
      <c r="L578" s="0" t="inlineStr">
        <is>
          <t>IMG_7078.HEIC</t>
        </is>
      </c>
    </row>
    <row r="579">
      <c r="A579" s="0" t="n">
        <v>574</v>
      </c>
      <c r="B579" s="6" t="inlineStr">
        <is>
          <t>Unknown</t>
        </is>
      </c>
      <c r="C579" s="6" t="inlineStr">
        <is>
          <t>Unknown red-pack fish-ball/fish-cake facing</t>
        </is>
      </c>
      <c r="D579" s="0" t="n"/>
      <c r="E579" s="7" t="inlineStr">
        <is>
          <t>Fresh Food</t>
        </is>
      </c>
      <c r="F579" s="7" t="inlineStr">
        <is>
          <t>Seafood</t>
        </is>
      </c>
      <c r="G579" s="0" t="inlineStr">
        <is>
          <t>Unknown</t>
        </is>
      </c>
      <c r="H579" s="0" t="n"/>
      <c r="I579" s="7">
        <f>IF(H579="","",VALUE(LEFT(H579,FIND("/",H579)-1))/VALUE(MID(H579,FIND("/",H579)+1,99)))</f>
        <v/>
      </c>
      <c r="J579" s="0" t="inlineStr">
        <is>
          <t>Multiple red facings; exact products unreadable.</t>
        </is>
      </c>
      <c r="K579" s="0" t="str"/>
      <c r="L579" s="0" t="inlineStr">
        <is>
          <t>IMG_7078.HEIC</t>
        </is>
      </c>
    </row>
    <row r="580">
      <c r="A580" s="0" t="n">
        <v>575</v>
      </c>
      <c r="B580" s="6" t="inlineStr">
        <is>
          <t>Unknown</t>
        </is>
      </c>
      <c r="C580" s="6" t="inlineStr">
        <is>
          <t>Unknown red-pack fried fish fillet/fish strip</t>
        </is>
      </c>
      <c r="D580" s="0" t="n"/>
      <c r="E580" s="7" t="inlineStr">
        <is>
          <t>Fresh Food</t>
        </is>
      </c>
      <c r="F580" s="7" t="inlineStr">
        <is>
          <t>Seafood</t>
        </is>
      </c>
      <c r="G580" s="0" t="inlineStr">
        <is>
          <t>Unknown</t>
        </is>
      </c>
      <c r="H580" s="0" t="n"/>
      <c r="I580" s="7">
        <f>IF(H580="","",VALUE(LEFT(H580,FIND("/",H580)-1))/VALUE(MID(H580,FIND("/",H580)+1,99)))</f>
        <v/>
      </c>
      <c r="J580" s="0" t="inlineStr">
        <is>
          <t>Chinese text appears to indicate fried fish fillet, but is not fully legible.</t>
        </is>
      </c>
      <c r="K580" s="0" t="str"/>
      <c r="L580" s="0" t="inlineStr">
        <is>
          <t>IMG_7078.HEIC</t>
        </is>
      </c>
    </row>
    <row r="581">
      <c r="A581" s="0" t="n">
        <v>576</v>
      </c>
      <c r="B581" s="6" t="inlineStr">
        <is>
          <t>VISMARA</t>
        </is>
      </c>
      <c r="C581" s="6" t="inlineStr">
        <is>
          <t>Unknown VISMARA packaged food</t>
        </is>
      </c>
      <c r="D581" s="0" t="n"/>
      <c r="E581" s="7" t="inlineStr">
        <is>
          <t>Fresh Food</t>
        </is>
      </c>
      <c r="F581" s="7" t="inlineStr">
        <is>
          <t>Meat</t>
        </is>
      </c>
      <c r="G581" s="0" t="inlineStr">
        <is>
          <t>Unknown</t>
        </is>
      </c>
      <c r="H581" s="0" t="n"/>
      <c r="I581" s="7">
        <f>IF(H581="","",VALUE(LEFT(H581,FIND("/",H581)-1))/VALUE(MID(H581,FIND("/",H581)+1,99)))</f>
        <v/>
      </c>
      <c r="J581" s="0" t="inlineStr">
        <is>
          <t>VISMARA branding visible; exact product/size/price unreadable.</t>
        </is>
      </c>
      <c r="K581" s="0" t="inlineStr">
        <is>
          <t>https://www.pns.hk/en/all-brands/b/122593/vismara</t>
        </is>
      </c>
      <c r="L581" s="0" t="inlineStr">
        <is>
          <t>IMG_7078.HEIC</t>
        </is>
      </c>
    </row>
    <row r="582">
      <c r="A582" s="0" t="n">
        <v>577</v>
      </c>
      <c r="B582" s="6" t="inlineStr">
        <is>
          <t>Unknown</t>
        </is>
      </c>
      <c r="C582" s="6" t="inlineStr">
        <is>
          <t>Unknown lower-shelf frozen seafood/meat facings</t>
        </is>
      </c>
      <c r="D582" s="0" t="n"/>
      <c r="E582" s="7" t="inlineStr">
        <is>
          <t>Fresh Food</t>
        </is>
      </c>
      <c r="F582" s="7" t="inlineStr">
        <is>
          <t>Seafood</t>
        </is>
      </c>
      <c r="G582" s="0" t="inlineStr">
        <is>
          <t>Unknown</t>
        </is>
      </c>
      <c r="H582" s="0" t="n"/>
      <c r="I582" s="7">
        <f>IF(H582="","",VALUE(LEFT(H582,FIND("/",H582)-1))/VALUE(MID(H582,FIND("/",H582)+1,99)))</f>
        <v/>
      </c>
      <c r="J582" s="0" t="inlineStr">
        <is>
          <t>Mixed blue/black/orange packs; names/sizes unreadable.</t>
        </is>
      </c>
      <c r="K582" s="0" t="str"/>
      <c r="L582" s="0" t="inlineStr">
        <is>
          <t>IMG_7078.HEIC</t>
        </is>
      </c>
    </row>
    <row r="583">
      <c r="A583" s="0" t="n">
        <v>578</v>
      </c>
      <c r="B583" s="6" t="inlineStr">
        <is>
          <t>Unknown</t>
        </is>
      </c>
      <c r="C583" s="6" t="inlineStr">
        <is>
          <t>Unknown blue/white beef pack</t>
        </is>
      </c>
      <c r="D583" s="0" t="n"/>
      <c r="E583" s="7" t="inlineStr">
        <is>
          <t>Fresh Food</t>
        </is>
      </c>
      <c r="F583" s="7" t="inlineStr">
        <is>
          <t>Frozen Meat</t>
        </is>
      </c>
      <c r="G583" s="0" t="inlineStr">
        <is>
          <t>Unknown</t>
        </is>
      </c>
      <c r="H583" s="0" t="n"/>
      <c r="I583" s="7">
        <f>IF(H583="","",VALUE(LEFT(H583,FIND("/",H583)-1))/VALUE(MID(H583,FIND("/",H583)+1,99)))</f>
        <v/>
      </c>
      <c r="J583" s="0" t="inlineStr">
        <is>
          <t>Brand/name/size unreadable; nearby HK$68.0 tag may not be linked.</t>
        </is>
      </c>
      <c r="K583" s="0" t="str"/>
      <c r="L583" s="0" t="inlineStr">
        <is>
          <t>IMG_7079.HEIC</t>
        </is>
      </c>
    </row>
    <row r="584">
      <c r="A584" s="0" t="n">
        <v>579</v>
      </c>
      <c r="B584" s="6" t="inlineStr">
        <is>
          <t>SELECT</t>
        </is>
      </c>
      <c r="C584" s="6" t="inlineStr">
        <is>
          <t>SELECT U.S.A. Grain Fed Hot Pot Beef</t>
        </is>
      </c>
      <c r="D584" s="0" t="n">
        <v>49.9</v>
      </c>
      <c r="E584" s="7" t="inlineStr">
        <is>
          <t>Fresh Food</t>
        </is>
      </c>
      <c r="F584" s="7" t="inlineStr">
        <is>
          <t>Frozen Meat</t>
        </is>
      </c>
      <c r="G584" s="0" t="inlineStr">
        <is>
          <t>Unknown</t>
        </is>
      </c>
      <c r="H584" s="0" t="n"/>
      <c r="I584" s="7">
        <f>IF(H584="","",VALUE(LEFT(H584,FIND("/",H584)-1))/VALUE(MID(H584,FIND("/",H584)+1,99)))</f>
        <v/>
      </c>
      <c r="J584" s="0" t="inlineStr">
        <is>
          <t>Shelf tag shows HK$49.9 and HK$75.0 reference/original marking; pack size unreadable.</t>
        </is>
      </c>
      <c r="K584" s="0" t="inlineStr">
        <is>
          <t>https://www.pns.hk/en/us-grain-fed-hot-pot-beef-usa-frozen-18%C2%B0c/p/BP_28389</t>
        </is>
      </c>
      <c r="L584" s="0" t="inlineStr">
        <is>
          <t>IMG_7079.HEIC</t>
        </is>
      </c>
    </row>
    <row r="585">
      <c r="A585" s="0" t="n">
        <v>580</v>
      </c>
      <c r="B585" s="6" t="inlineStr">
        <is>
          <t>Unknown</t>
        </is>
      </c>
      <c r="C585" s="6" t="inlineStr">
        <is>
          <t>Unknown halal beef pack (left)</t>
        </is>
      </c>
      <c r="D585" s="0" t="n">
        <v>68</v>
      </c>
      <c r="E585" s="7" t="inlineStr">
        <is>
          <t>Fresh Food</t>
        </is>
      </c>
      <c r="F585" s="7" t="inlineStr">
        <is>
          <t>Frozen Meat</t>
        </is>
      </c>
      <c r="G585" s="0" t="inlineStr">
        <is>
          <t>Unknown</t>
        </is>
      </c>
      <c r="H585" s="0" t="n"/>
      <c r="I585" s="7">
        <f>IF(H585="","",VALUE(LEFT(H585,FIND("/",H585)-1))/VALUE(MID(H585,FIND("/",H585)+1,99)))</f>
        <v/>
      </c>
      <c r="J585" s="0" t="inlineStr">
        <is>
          <t>HALAL FOOD shelf tag; exact cut/name/size unreadable.</t>
        </is>
      </c>
      <c r="K585" s="0" t="str"/>
      <c r="L585" s="0" t="inlineStr">
        <is>
          <t>IMG_7079.HEIC</t>
        </is>
      </c>
    </row>
    <row r="586">
      <c r="A586" s="0" t="n">
        <v>581</v>
      </c>
      <c r="B586" s="6" t="inlineStr">
        <is>
          <t>Unknown</t>
        </is>
      </c>
      <c r="C586" s="6" t="inlineStr">
        <is>
          <t>Unknown halal beef pack (right)</t>
        </is>
      </c>
      <c r="D586" s="0" t="n">
        <v>58</v>
      </c>
      <c r="E586" s="7" t="inlineStr">
        <is>
          <t>Fresh Food</t>
        </is>
      </c>
      <c r="F586" s="7" t="inlineStr">
        <is>
          <t>Frozen Meat</t>
        </is>
      </c>
      <c r="G586" s="0" t="inlineStr">
        <is>
          <t>Unknown</t>
        </is>
      </c>
      <c r="H586" s="0" t="n"/>
      <c r="I586" s="7">
        <f>IF(H586="","",VALUE(LEFT(H586,FIND("/",H586)-1))/VALUE(MID(H586,FIND("/",H586)+1,99)))</f>
        <v/>
      </c>
      <c r="J586" s="0" t="inlineStr">
        <is>
          <t>HALAL FOOD shelf tag; exact cut/name/size unreadable.</t>
        </is>
      </c>
      <c r="K586" s="0" t="str"/>
      <c r="L586" s="0" t="inlineStr">
        <is>
          <t>IMG_7079.HEIC</t>
        </is>
      </c>
    </row>
    <row r="587">
      <c r="A587" s="0" t="n">
        <v>582</v>
      </c>
      <c r="B587" s="6" t="inlineStr">
        <is>
          <t>Danish Crown</t>
        </is>
      </c>
      <c r="C587" s="6" t="inlineStr">
        <is>
          <t>Unknown Danish Crown beef/meat facing</t>
        </is>
      </c>
      <c r="D587" s="0" t="n">
        <v>72</v>
      </c>
      <c r="E587" s="7" t="inlineStr">
        <is>
          <t>Fresh Food</t>
        </is>
      </c>
      <c r="F587" s="7" t="inlineStr">
        <is>
          <t>Frozen Meat</t>
        </is>
      </c>
      <c r="G587" s="0" t="inlineStr">
        <is>
          <t>Unknown</t>
        </is>
      </c>
      <c r="H587" s="0" t="n"/>
      <c r="I587" s="7">
        <f>IF(H587="","",VALUE(LEFT(H587,FIND("/",H587)-1))/VALUE(MID(H587,FIND("/",H587)+1,99)))</f>
        <v/>
      </c>
      <c r="J587" s="0" t="inlineStr">
        <is>
          <t>Danish Crown branding visible; exact cut/name/size unreadable.</t>
        </is>
      </c>
      <c r="K587" s="0" t="inlineStr">
        <is>
          <t>https://www.danishcrown.com/</t>
        </is>
      </c>
      <c r="L587" s="0" t="inlineStr">
        <is>
          <t>IMG_7079.HEIC</t>
        </is>
      </c>
    </row>
    <row r="588">
      <c r="A588" s="0" t="n">
        <v>583</v>
      </c>
      <c r="B588" s="6" t="inlineStr">
        <is>
          <t>Unknown</t>
        </is>
      </c>
      <c r="C588" s="6" t="inlineStr">
        <is>
          <t>Unknown packaged meat facings</t>
        </is>
      </c>
      <c r="D588" s="0" t="n">
        <v>42</v>
      </c>
      <c r="E588" s="7" t="inlineStr">
        <is>
          <t>Fresh Food</t>
        </is>
      </c>
      <c r="F588" s="7" t="inlineStr">
        <is>
          <t>Frozen Meat</t>
        </is>
      </c>
      <c r="G588" s="0" t="inlineStr">
        <is>
          <t>Unknown</t>
        </is>
      </c>
      <c r="H588" s="0" t="n"/>
      <c r="I588" s="7">
        <f>IF(H588="","",VALUE(LEFT(H588,FIND("/",H588)-1))/VALUE(MID(H588,FIND("/",H588)+1,99)))</f>
        <v/>
      </c>
      <c r="J588" s="0" t="inlineStr">
        <is>
          <t>Lower facings visible; brand/name/size unreadable; nearby HK$42.0 tag.</t>
        </is>
      </c>
      <c r="K588" s="0" t="str"/>
      <c r="L588" s="0" t="inlineStr">
        <is>
          <t>IMG_7079.HEIC</t>
        </is>
      </c>
    </row>
    <row r="589">
      <c r="A589" s="0" t="n">
        <v>584</v>
      </c>
      <c r="B589" s="6" t="inlineStr">
        <is>
          <t>Unknown</t>
        </is>
      </c>
      <c r="C589" s="6" t="inlineStr">
        <is>
          <t>Unknown blue/white beef pack</t>
        </is>
      </c>
      <c r="D589" s="0" t="n"/>
      <c r="E589" s="7" t="inlineStr">
        <is>
          <t>Fresh Food</t>
        </is>
      </c>
      <c r="F589" s="7" t="inlineStr">
        <is>
          <t>Frozen Meat</t>
        </is>
      </c>
      <c r="G589" s="0" t="inlineStr">
        <is>
          <t>Unknown</t>
        </is>
      </c>
      <c r="H589" s="0" t="n"/>
      <c r="I589" s="7">
        <f>IF(H589="","",VALUE(LEFT(H589,FIND("/",H589)-1))/VALUE(MID(H589,FIND("/",H589)+1,99)))</f>
        <v/>
      </c>
      <c r="J589" s="0" t="inlineStr">
        <is>
          <t>Close duplicate view; brand/name/size unreadable.</t>
        </is>
      </c>
      <c r="K589" s="0" t="str"/>
      <c r="L589" s="0" t="inlineStr">
        <is>
          <t>IMG_7080.HEIC</t>
        </is>
      </c>
    </row>
    <row r="590">
      <c r="A590" s="0" t="n">
        <v>585</v>
      </c>
      <c r="B590" s="6" t="inlineStr">
        <is>
          <t>SELECT</t>
        </is>
      </c>
      <c r="C590" s="6" t="inlineStr">
        <is>
          <t>SELECT U.S.A. Grain Fed Hot Pot Beef</t>
        </is>
      </c>
      <c r="D590" s="0" t="n">
        <v>49.9</v>
      </c>
      <c r="E590" s="7" t="inlineStr">
        <is>
          <t>Fresh Food</t>
        </is>
      </c>
      <c r="F590" s="7" t="inlineStr">
        <is>
          <t>Frozen Meat</t>
        </is>
      </c>
      <c r="G590" s="0" t="inlineStr">
        <is>
          <t>Unknown</t>
        </is>
      </c>
      <c r="H590" s="0" t="n"/>
      <c r="I590" s="7">
        <f>IF(H590="","",VALUE(LEFT(H590,FIND("/",H590)-1))/VALUE(MID(H590,FIND("/",H590)+1,99)))</f>
        <v/>
      </c>
      <c r="J590" s="0" t="inlineStr">
        <is>
          <t>Shelf tag shows HK$49.9 and HK$75.0 reference/original marking; pack size unreadable.</t>
        </is>
      </c>
      <c r="K590" s="0" t="inlineStr">
        <is>
          <t>https://www.pns.hk/en/us-grain-fed-hot-pot-beef-usa-frozen-18%C2%B0c/p/BP_28389</t>
        </is>
      </c>
      <c r="L590" s="0" t="inlineStr">
        <is>
          <t>IMG_7080.HEIC</t>
        </is>
      </c>
    </row>
    <row r="591">
      <c r="A591" s="0" t="n">
        <v>586</v>
      </c>
      <c r="B591" s="6" t="inlineStr">
        <is>
          <t>Unknown</t>
        </is>
      </c>
      <c r="C591" s="6" t="inlineStr">
        <is>
          <t>Unknown halal beef facings</t>
        </is>
      </c>
      <c r="D591" s="0" t="n">
        <v>68</v>
      </c>
      <c r="E591" s="7" t="inlineStr">
        <is>
          <t>Fresh Food</t>
        </is>
      </c>
      <c r="F591" s="7" t="inlineStr">
        <is>
          <t>Frozen Meat</t>
        </is>
      </c>
      <c r="G591" s="0" t="inlineStr">
        <is>
          <t>Unknown</t>
        </is>
      </c>
      <c r="H591" s="0" t="n"/>
      <c r="I591" s="7">
        <f>IF(H591="","",VALUE(LEFT(H591,FIND("/",H591)-1))/VALUE(MID(H591,FIND("/",H591)+1,99)))</f>
        <v/>
      </c>
      <c r="J591" s="0" t="inlineStr">
        <is>
          <t>HALAL FOOD tags; exact cuts/names/sizes unreadable.</t>
        </is>
      </c>
      <c r="K591" s="0" t="str"/>
      <c r="L591" s="0" t="inlineStr">
        <is>
          <t>IMG_7080.HEIC</t>
        </is>
      </c>
    </row>
    <row r="592">
      <c r="A592" s="0" t="n">
        <v>587</v>
      </c>
      <c r="B592" s="6" t="inlineStr">
        <is>
          <t>Danish Crown</t>
        </is>
      </c>
      <c r="C592" s="6" t="inlineStr">
        <is>
          <t>Unknown Danish Crown beef/meat facing</t>
        </is>
      </c>
      <c r="D592" s="0" t="n">
        <v>72</v>
      </c>
      <c r="E592" s="7" t="inlineStr">
        <is>
          <t>Fresh Food</t>
        </is>
      </c>
      <c r="F592" s="7" t="inlineStr">
        <is>
          <t>Frozen Meat</t>
        </is>
      </c>
      <c r="G592" s="0" t="inlineStr">
        <is>
          <t>Unknown</t>
        </is>
      </c>
      <c r="H592" s="0" t="n"/>
      <c r="I592" s="7">
        <f>IF(H592="","",VALUE(LEFT(H592,FIND("/",H592)-1))/VALUE(MID(H592,FIND("/",H592)+1,99)))</f>
        <v/>
      </c>
      <c r="J592" s="0" t="inlineStr">
        <is>
          <t>Danish Crown branding visible; exact cut/name/size unreadable.</t>
        </is>
      </c>
      <c r="K592" s="0" t="inlineStr">
        <is>
          <t>https://www.danishcrown.com/</t>
        </is>
      </c>
      <c r="L592" s="0" t="inlineStr">
        <is>
          <t>IMG_7080.HEIC</t>
        </is>
      </c>
    </row>
    <row r="593">
      <c r="A593" s="0" t="n">
        <v>588</v>
      </c>
      <c r="B593" s="6" t="inlineStr">
        <is>
          <t>Unknown</t>
        </is>
      </c>
      <c r="C593" s="6" t="inlineStr">
        <is>
          <t>Unknown packaged meat facing</t>
        </is>
      </c>
      <c r="D593" s="0" t="n">
        <v>42</v>
      </c>
      <c r="E593" s="7" t="inlineStr">
        <is>
          <t>Fresh Food</t>
        </is>
      </c>
      <c r="F593" s="7" t="inlineStr">
        <is>
          <t>Frozen Meat</t>
        </is>
      </c>
      <c r="G593" s="0" t="inlineStr">
        <is>
          <t>Unknown</t>
        </is>
      </c>
      <c r="H593" s="0" t="n"/>
      <c r="I593" s="7">
        <f>IF(H593="","",VALUE(LEFT(H593,FIND("/",H593)-1))/VALUE(MID(H593,FIND("/",H593)+1,99)))</f>
        <v/>
      </c>
      <c r="J593" s="0" t="inlineStr">
        <is>
          <t>Brand/name/size unreadable; nearby HK$42.0 tag.</t>
        </is>
      </c>
      <c r="K593" s="0" t="str"/>
      <c r="L593" s="0" t="inlineStr">
        <is>
          <t>IMG_7080.HEIC</t>
        </is>
      </c>
    </row>
    <row r="594">
      <c r="A594" s="0" t="n">
        <v>589</v>
      </c>
      <c r="B594" s="6" t="inlineStr">
        <is>
          <t>SELECT</t>
        </is>
      </c>
      <c r="C594" s="6" t="inlineStr">
        <is>
          <t>SELECT U.S.A. Grain Fed Hot Pot Beef</t>
        </is>
      </c>
      <c r="D594" s="0" t="n">
        <v>49.9</v>
      </c>
      <c r="E594" s="7" t="inlineStr">
        <is>
          <t>Fresh Food</t>
        </is>
      </c>
      <c r="F594" s="7" t="inlineStr">
        <is>
          <t>Frozen Meat</t>
        </is>
      </c>
      <c r="G594" s="0" t="inlineStr">
        <is>
          <t>Unknown</t>
        </is>
      </c>
      <c r="H594" s="0" t="n"/>
      <c r="I594" s="7">
        <f>IF(H594="","",VALUE(LEFT(H594,FIND("/",H594)-1))/VALUE(MID(H594,FIND("/",H594)+1,99)))</f>
        <v/>
      </c>
      <c r="J594" s="0" t="inlineStr">
        <is>
          <t>Hand-held pack; HK$49.9 and HK$75.0 markings visible; pack size unreadable.</t>
        </is>
      </c>
      <c r="K594" s="0" t="inlineStr">
        <is>
          <t>https://www.pns.hk/en/us-grain-fed-hot-pot-beef-usa-frozen-18%C2%B0c/p/BP_28389</t>
        </is>
      </c>
      <c r="L594" s="0" t="inlineStr">
        <is>
          <t>IMG_7081.HEIC</t>
        </is>
      </c>
    </row>
    <row r="595">
      <c r="A595" s="0" t="n">
        <v>590</v>
      </c>
      <c r="B595" s="6" t="inlineStr">
        <is>
          <t>Unknown</t>
        </is>
      </c>
      <c r="C595" s="6" t="inlineStr">
        <is>
          <t>Unknown blue/white beef pack</t>
        </is>
      </c>
      <c r="D595" s="0" t="n"/>
      <c r="E595" s="7" t="inlineStr">
        <is>
          <t>Fresh Food</t>
        </is>
      </c>
      <c r="F595" s="7" t="inlineStr">
        <is>
          <t>Frozen Meat</t>
        </is>
      </c>
      <c r="G595" s="0" t="inlineStr">
        <is>
          <t>Unknown</t>
        </is>
      </c>
      <c r="H595" s="0" t="n"/>
      <c r="I595" s="7">
        <f>IF(H595="","",VALUE(LEFT(H595,FIND("/",H595)-1))/VALUE(MID(H595,FIND("/",H595)+1,99)))</f>
        <v/>
      </c>
      <c r="J595" s="0" t="inlineStr">
        <is>
          <t>Partial facing; brand/name/size unreadable.</t>
        </is>
      </c>
      <c r="K595" s="0" t="str"/>
      <c r="L595" s="0" t="inlineStr">
        <is>
          <t>IMG_7081.HEIC</t>
        </is>
      </c>
    </row>
    <row r="596">
      <c r="A596" s="0" t="n">
        <v>591</v>
      </c>
      <c r="B596" s="6" t="inlineStr">
        <is>
          <t>Unknown</t>
        </is>
      </c>
      <c r="C596" s="6" t="inlineStr">
        <is>
          <t>Unknown halal beef facings</t>
        </is>
      </c>
      <c r="D596" s="0" t="n">
        <v>68</v>
      </c>
      <c r="E596" s="7" t="inlineStr">
        <is>
          <t>Fresh Food</t>
        </is>
      </c>
      <c r="F596" s="7" t="inlineStr">
        <is>
          <t>Frozen Meat</t>
        </is>
      </c>
      <c r="G596" s="0" t="inlineStr">
        <is>
          <t>Unknown</t>
        </is>
      </c>
      <c r="H596" s="0" t="n"/>
      <c r="I596" s="7">
        <f>IF(H596="","",VALUE(LEFT(H596,FIND("/",H596)-1))/VALUE(MID(H596,FIND("/",H596)+1,99)))</f>
        <v/>
      </c>
      <c r="J596" s="0" t="inlineStr">
        <is>
          <t>HALAL FOOD tags; exact cuts/names/sizes unreadable.</t>
        </is>
      </c>
      <c r="K596" s="0" t="str"/>
      <c r="L596" s="0" t="inlineStr">
        <is>
          <t>IMG_7081.HEIC</t>
        </is>
      </c>
    </row>
    <row r="597">
      <c r="A597" s="0" t="n">
        <v>592</v>
      </c>
      <c r="B597" s="6" t="inlineStr">
        <is>
          <t>Unknown</t>
        </is>
      </c>
      <c r="C597" s="6" t="inlineStr">
        <is>
          <t>Unknown purple-pack frozen seafood facings</t>
        </is>
      </c>
      <c r="D597" s="0" t="n"/>
      <c r="E597" s="7" t="inlineStr">
        <is>
          <t>Fresh Food</t>
        </is>
      </c>
      <c r="F597" s="7" t="inlineStr">
        <is>
          <t>Seafood</t>
        </is>
      </c>
      <c r="G597" s="0" t="inlineStr">
        <is>
          <t>Unknown</t>
        </is>
      </c>
      <c r="H597" s="0" t="n"/>
      <c r="I597" s="7">
        <f>IF(H597="","",VALUE(LEFT(H597,FIND("/",H597)-1))/VALUE(MID(H597,FIND("/",H597)+1,99)))</f>
        <v/>
      </c>
      <c r="J597" s="0" t="inlineStr">
        <is>
          <t>Brand/name/size unreadable.</t>
        </is>
      </c>
      <c r="K597" s="0" t="str"/>
      <c r="L597" s="0" t="inlineStr">
        <is>
          <t>IMG_7082.HEIC</t>
        </is>
      </c>
    </row>
    <row r="598">
      <c r="A598" s="0" t="n">
        <v>593</v>
      </c>
      <c r="B598" s="6" t="inlineStr">
        <is>
          <t>Unknown</t>
        </is>
      </c>
      <c r="C598" s="6" t="inlineStr">
        <is>
          <t>Unknown Ocean Catch Alaska Black Cod Fillet</t>
        </is>
      </c>
      <c r="D598" s="0" t="n"/>
      <c r="E598" s="7" t="inlineStr">
        <is>
          <t>Fresh Food</t>
        </is>
      </c>
      <c r="F598" s="7" t="inlineStr">
        <is>
          <t>Seafood</t>
        </is>
      </c>
      <c r="G598" s="0" t="inlineStr">
        <is>
          <t>Unknown</t>
        </is>
      </c>
      <c r="H598" s="0" t="n"/>
      <c r="I598" s="7">
        <f>IF(H598="","",VALUE(LEFT(H598,FIND("/",H598)-1))/VALUE(MID(H598,FIND("/",H598)+1,99)))</f>
        <v/>
      </c>
      <c r="J598" s="0" t="inlineStr">
        <is>
          <t>Ocean Catch/product wording is visible, but the supporting page confirms only the product type, not this exact brand/SKU; pack size and directly associated price unreadable.</t>
        </is>
      </c>
      <c r="K598" s="0" t="inlineStr">
        <is>
          <t>https://www.aussiemeat.hk/products/alaskan-black-cod-fillet-skin-on-and-pin-bone-in</t>
        </is>
      </c>
      <c r="L598" s="0" t="inlineStr">
        <is>
          <t>IMG_7082.HEIC</t>
        </is>
      </c>
    </row>
    <row r="599">
      <c r="A599" s="0" t="n">
        <v>594</v>
      </c>
      <c r="B599" s="6" t="inlineStr">
        <is>
          <t>Unknown</t>
        </is>
      </c>
      <c r="C599" s="6" t="inlineStr">
        <is>
          <t>Unknown blue-pack frozen seafood facing</t>
        </is>
      </c>
      <c r="D599" s="0" t="n"/>
      <c r="E599" s="7" t="inlineStr">
        <is>
          <t>Fresh Food</t>
        </is>
      </c>
      <c r="F599" s="7" t="inlineStr">
        <is>
          <t>Seafood</t>
        </is>
      </c>
      <c r="G599" s="0" t="inlineStr">
        <is>
          <t>Unknown</t>
        </is>
      </c>
      <c r="H599" s="0" t="n"/>
      <c r="I599" s="7">
        <f>IF(H599="","",VALUE(LEFT(H599,FIND("/",H599)-1))/VALUE(MID(H599,FIND("/",H599)+1,99)))</f>
        <v/>
      </c>
      <c r="J599" s="0" t="inlineStr">
        <is>
          <t>Nearby tag appears HK$108.0 but linkage is uncertain.</t>
        </is>
      </c>
      <c r="K599" s="0" t="str"/>
      <c r="L599" s="0" t="inlineStr">
        <is>
          <t>IMG_7082.HEIC</t>
        </is>
      </c>
    </row>
    <row r="600">
      <c r="A600" s="0" t="n">
        <v>595</v>
      </c>
      <c r="B600" s="6" t="inlineStr">
        <is>
          <t>Unknown</t>
        </is>
      </c>
      <c r="C600" s="6" t="inlineStr">
        <is>
          <t>Unknown orange fish fillet/tray</t>
        </is>
      </c>
      <c r="D600" s="0" t="n">
        <v>66</v>
      </c>
      <c r="E600" s="7" t="inlineStr">
        <is>
          <t>Fresh Food</t>
        </is>
      </c>
      <c r="F600" s="7" t="inlineStr">
        <is>
          <t>Seafood</t>
        </is>
      </c>
      <c r="G600" s="0" t="inlineStr">
        <is>
          <t>Unknown</t>
        </is>
      </c>
      <c r="H600" s="0" t="n"/>
      <c r="I600" s="7">
        <f>IF(H600="","",VALUE(LEFT(H600,FIND("/",H600)-1))/VALUE(MID(H600,FIND("/",H600)+1,99)))</f>
        <v/>
      </c>
      <c r="J600" s="0" t="inlineStr">
        <is>
          <t>Product unreadable; nearby shelf tag appears HK$66.0.</t>
        </is>
      </c>
      <c r="K600" s="0" t="str"/>
      <c r="L600" s="0" t="inlineStr">
        <is>
          <t>IMG_7082.HEIC</t>
        </is>
      </c>
    </row>
    <row r="601">
      <c r="A601" s="0" t="n">
        <v>596</v>
      </c>
      <c r="B601" s="6" t="inlineStr">
        <is>
          <t>Unknown</t>
        </is>
      </c>
      <c r="C601" s="6" t="inlineStr">
        <is>
          <t>Unknown lower-shelf fish packs</t>
        </is>
      </c>
      <c r="D601" s="0" t="n">
        <v>62.9</v>
      </c>
      <c r="E601" s="7" t="inlineStr">
        <is>
          <t>Fresh Food</t>
        </is>
      </c>
      <c r="F601" s="7" t="inlineStr">
        <is>
          <t>Seafood</t>
        </is>
      </c>
      <c r="G601" s="0" t="inlineStr">
        <is>
          <t>Unknown</t>
        </is>
      </c>
      <c r="H601" s="0" t="n"/>
      <c r="I601" s="7">
        <f>IF(H601="","",VALUE(LEFT(H601,FIND("/",H601)-1))/VALUE(MID(H601,FIND("/",H601)+1,99)))</f>
        <v/>
      </c>
      <c r="J601" s="0" t="inlineStr">
        <is>
          <t>Product unreadable; nearby HK$62.9 and HK$28.0 tags.</t>
        </is>
      </c>
      <c r="K601" s="0" t="str"/>
      <c r="L601" s="0" t="inlineStr">
        <is>
          <t>IMG_7082.HEIC</t>
        </is>
      </c>
    </row>
    <row r="602">
      <c r="A602" s="0" t="n">
        <v>597</v>
      </c>
      <c r="B602" s="6" t="inlineStr">
        <is>
          <t>Unknown</t>
        </is>
      </c>
      <c r="C602" s="6" t="inlineStr">
        <is>
          <t>Unknown purple-pack frozen seafood facings</t>
        </is>
      </c>
      <c r="D602" s="0" t="n"/>
      <c r="E602" s="7" t="inlineStr">
        <is>
          <t>Fresh Food</t>
        </is>
      </c>
      <c r="F602" s="7" t="inlineStr">
        <is>
          <t>Seafood</t>
        </is>
      </c>
      <c r="G602" s="0" t="inlineStr">
        <is>
          <t>Unknown</t>
        </is>
      </c>
      <c r="H602" s="0" t="n"/>
      <c r="I602" s="7">
        <f>IF(H602="","",VALUE(LEFT(H602,FIND("/",H602)-1))/VALUE(MID(H602,FIND("/",H602)+1,99)))</f>
        <v/>
      </c>
      <c r="J602" s="0" t="inlineStr">
        <is>
          <t>Near-duplicate seafood view; names/brands/sizes unreadable.</t>
        </is>
      </c>
      <c r="K602" s="0" t="str"/>
      <c r="L602" s="0" t="inlineStr">
        <is>
          <t>IMG_7083.HEIC</t>
        </is>
      </c>
    </row>
    <row r="603">
      <c r="A603" s="0" t="n">
        <v>598</v>
      </c>
      <c r="B603" s="6" t="inlineStr">
        <is>
          <t>Unknown</t>
        </is>
      </c>
      <c r="C603" s="6" t="inlineStr">
        <is>
          <t>Unknown Ocean Catch Alaska Black Cod Fillet</t>
        </is>
      </c>
      <c r="D603" s="0" t="n"/>
      <c r="E603" s="7" t="inlineStr">
        <is>
          <t>Fresh Food</t>
        </is>
      </c>
      <c r="F603" s="7" t="inlineStr">
        <is>
          <t>Seafood</t>
        </is>
      </c>
      <c r="G603" s="0" t="inlineStr">
        <is>
          <t>Unknown</t>
        </is>
      </c>
      <c r="H603" s="0" t="n"/>
      <c r="I603" s="7">
        <f>IF(H603="","",VALUE(LEFT(H603,FIND("/",H603)-1))/VALUE(MID(H603,FIND("/",H603)+1,99)))</f>
        <v/>
      </c>
      <c r="J603" s="0" t="inlineStr">
        <is>
          <t>Ocean Catch/product wording is visible, but the supporting page confirms only the product type, not this exact brand/SKU; pack size and price unreadable.</t>
        </is>
      </c>
      <c r="K603" s="0" t="inlineStr">
        <is>
          <t>https://www.aussiemeat.hk/products/alaskan-black-cod-fillet-skin-on-and-pin-bone-in</t>
        </is>
      </c>
      <c r="L603" s="0" t="inlineStr">
        <is>
          <t>IMG_7083.HEIC</t>
        </is>
      </c>
    </row>
    <row r="604">
      <c r="A604" s="0" t="n">
        <v>599</v>
      </c>
      <c r="B604" s="6" t="inlineStr">
        <is>
          <t>Unknown</t>
        </is>
      </c>
      <c r="C604" s="6" t="inlineStr">
        <is>
          <t>Unknown blue-pack frozen seafood facing</t>
        </is>
      </c>
      <c r="D604" s="0" t="n"/>
      <c r="E604" s="7" t="inlineStr">
        <is>
          <t>Fresh Food</t>
        </is>
      </c>
      <c r="F604" s="7" t="inlineStr">
        <is>
          <t>Seafood</t>
        </is>
      </c>
      <c r="G604" s="0" t="inlineStr">
        <is>
          <t>Unknown</t>
        </is>
      </c>
      <c r="H604" s="0" t="n"/>
      <c r="I604" s="7">
        <f>IF(H604="","",VALUE(LEFT(H604,FIND("/",H604)-1))/VALUE(MID(H604,FIND("/",H604)+1,99)))</f>
        <v/>
      </c>
      <c r="J604" s="0" t="inlineStr">
        <is>
          <t>Brand/name/size unreadable.</t>
        </is>
      </c>
      <c r="K604" s="0" t="str"/>
      <c r="L604" s="0" t="inlineStr">
        <is>
          <t>IMG_7083.HEIC</t>
        </is>
      </c>
    </row>
    <row r="605">
      <c r="A605" s="0" t="n">
        <v>600</v>
      </c>
      <c r="B605" s="6" t="inlineStr">
        <is>
          <t>Unknown</t>
        </is>
      </c>
      <c r="C605" s="6" t="inlineStr">
        <is>
          <t>Unknown orange fish fillet/tray</t>
        </is>
      </c>
      <c r="D605" s="0" t="n">
        <v>66</v>
      </c>
      <c r="E605" s="7" t="inlineStr">
        <is>
          <t>Fresh Food</t>
        </is>
      </c>
      <c r="F605" s="7" t="inlineStr">
        <is>
          <t>Seafood</t>
        </is>
      </c>
      <c r="G605" s="0" t="inlineStr">
        <is>
          <t>Unknown</t>
        </is>
      </c>
      <c r="H605" s="0" t="n"/>
      <c r="I605" s="7">
        <f>IF(H605="","",VALUE(LEFT(H605,FIND("/",H605)-1))/VALUE(MID(H605,FIND("/",H605)+1,99)))</f>
        <v/>
      </c>
      <c r="J605" s="0" t="inlineStr">
        <is>
          <t>Product unreadable; nearby shelf tag appears HK$66.0.</t>
        </is>
      </c>
      <c r="K605" s="0" t="str"/>
      <c r="L605" s="0" t="inlineStr">
        <is>
          <t>IMG_7083.HEIC</t>
        </is>
      </c>
    </row>
    <row r="606">
      <c r="A606" s="0" t="n">
        <v>601</v>
      </c>
      <c r="B606" s="6" t="inlineStr">
        <is>
          <t>Unknown</t>
        </is>
      </c>
      <c r="C606" s="6" t="inlineStr">
        <is>
          <t>Unknown lower-shelf fish packs</t>
        </is>
      </c>
      <c r="D606" s="0" t="n">
        <v>62.9</v>
      </c>
      <c r="E606" s="7" t="inlineStr">
        <is>
          <t>Fresh Food</t>
        </is>
      </c>
      <c r="F606" s="7" t="inlineStr">
        <is>
          <t>Seafood</t>
        </is>
      </c>
      <c r="G606" s="0" t="inlineStr">
        <is>
          <t>Unknown</t>
        </is>
      </c>
      <c r="H606" s="0" t="n"/>
      <c r="I606" s="7">
        <f>IF(H606="","",VALUE(LEFT(H606,FIND("/",H606)-1))/VALUE(MID(H606,FIND("/",H606)+1,99)))</f>
        <v/>
      </c>
      <c r="J606" s="0" t="inlineStr">
        <is>
          <t>Product unreadable; nearby HK$62.9/28.0 tags.</t>
        </is>
      </c>
      <c r="K606" s="0" t="str"/>
      <c r="L606" s="0" t="inlineStr">
        <is>
          <t>IMG_7083.HEIC</t>
        </is>
      </c>
    </row>
    <row r="607">
      <c r="A607" s="0" t="n">
        <v>602</v>
      </c>
      <c r="B607" s="6" t="inlineStr">
        <is>
          <t>Unknown</t>
        </is>
      </c>
      <c r="C607" s="6" t="inlineStr">
        <is>
          <t>Unknown large clear fish bag</t>
        </is>
      </c>
      <c r="D607" s="0" t="n">
        <v>62.9</v>
      </c>
      <c r="E607" s="7" t="inlineStr">
        <is>
          <t>Fresh Food</t>
        </is>
      </c>
      <c r="F607" s="7" t="inlineStr">
        <is>
          <t>Seafood</t>
        </is>
      </c>
      <c r="G607" s="0" t="inlineStr">
        <is>
          <t>Unknown</t>
        </is>
      </c>
      <c r="H607" s="0" t="n"/>
      <c r="I607" s="7">
        <f>IF(H607="","",VALUE(LEFT(H607,FIND("/",H607)-1))/VALUE(MID(H607,FIND("/",H607)+1,99)))</f>
        <v/>
      </c>
      <c r="J607" s="0" t="inlineStr">
        <is>
          <t>Nearby shelf tag HK$62.9; brand/name/size unreadable.</t>
        </is>
      </c>
      <c r="K607" s="0" t="str"/>
      <c r="L607" s="0" t="inlineStr">
        <is>
          <t>IMG_7084.HEIC</t>
        </is>
      </c>
    </row>
    <row r="608">
      <c r="A608" s="0" t="n">
        <v>603</v>
      </c>
      <c r="B608" s="6" t="inlineStr">
        <is>
          <t>Unknown</t>
        </is>
      </c>
      <c r="C608" s="6" t="inlineStr">
        <is>
          <t>Unknown orange fish-steak facings</t>
        </is>
      </c>
      <c r="D608" s="0" t="n">
        <v>28</v>
      </c>
      <c r="E608" s="7" t="inlineStr">
        <is>
          <t>Fresh Food</t>
        </is>
      </c>
      <c r="F608" s="7" t="inlineStr">
        <is>
          <t>Seafood</t>
        </is>
      </c>
      <c r="G608" s="0" t="inlineStr">
        <is>
          <t>Unknown</t>
        </is>
      </c>
      <c r="H608" s="0" t="n"/>
      <c r="I608" s="7">
        <f>IF(H608="","",VALUE(LEFT(H608,FIND("/",H608)-1))/VALUE(MID(H608,FIND("/",H608)+1,99)))</f>
        <v/>
      </c>
      <c r="J608" s="0" t="inlineStr">
        <is>
          <t>HALAL FOOD sign/tag nearby; exact product/size unreadable.</t>
        </is>
      </c>
      <c r="K608" s="0" t="str"/>
      <c r="L608" s="0" t="inlineStr">
        <is>
          <t>IMG_7084.HEIC</t>
        </is>
      </c>
    </row>
    <row r="609">
      <c r="A609" s="0" t="n">
        <v>604</v>
      </c>
      <c r="B609" s="6" t="inlineStr">
        <is>
          <t>Unknown</t>
        </is>
      </c>
      <c r="C609" s="6" t="inlineStr">
        <is>
          <t>Unknown lower clear seafood pack</t>
        </is>
      </c>
      <c r="D609" s="0" t="n">
        <v>38</v>
      </c>
      <c r="E609" s="7" t="inlineStr">
        <is>
          <t>Fresh Food</t>
        </is>
      </c>
      <c r="F609" s="7" t="inlineStr">
        <is>
          <t>Seafood</t>
        </is>
      </c>
      <c r="G609" s="0" t="inlineStr">
        <is>
          <t>Unknown</t>
        </is>
      </c>
      <c r="H609" s="0" t="n"/>
      <c r="I609" s="7">
        <f>IF(H609="","",VALUE(LEFT(H609,FIND("/",H609)-1))/VALUE(MID(H609,FIND("/",H609)+1,99)))</f>
        <v/>
      </c>
      <c r="J609" s="0" t="inlineStr">
        <is>
          <t>Blue promo tag appears HK$38.0; product unreadable.</t>
        </is>
      </c>
      <c r="K609" s="0" t="str"/>
      <c r="L609" s="0" t="inlineStr">
        <is>
          <t>IMG_7084.HEIC</t>
        </is>
      </c>
    </row>
    <row r="610">
      <c r="A610" s="0" t="n">
        <v>605</v>
      </c>
      <c r="B610" s="6" t="inlineStr">
        <is>
          <t>Unknown</t>
        </is>
      </c>
      <c r="C610" s="6" t="inlineStr">
        <is>
          <t>Unknown purple-pack frozen food facings</t>
        </is>
      </c>
      <c r="D610" s="0" t="n">
        <v>35</v>
      </c>
      <c r="E610" s="7" t="inlineStr">
        <is>
          <t>Fresh Food</t>
        </is>
      </c>
      <c r="F610" s="7" t="inlineStr">
        <is>
          <t>Frozen Meat</t>
        </is>
      </c>
      <c r="G610" s="0" t="inlineStr">
        <is>
          <t>Unknown</t>
        </is>
      </c>
      <c r="H610" s="0" t="n"/>
      <c r="I610" s="7">
        <f>IF(H610="","",VALUE(LEFT(H610,FIND("/",H610)-1))/VALUE(MID(H610,FIND("/",H610)+1,99)))</f>
        <v/>
      </c>
      <c r="J610" s="0" t="inlineStr">
        <is>
          <t>Brand/name/size unreadable; nearby HK$35.0 tags.</t>
        </is>
      </c>
      <c r="K610" s="0" t="str"/>
      <c r="L610" s="0" t="inlineStr">
        <is>
          <t>IMG_7086.HEIC</t>
        </is>
      </c>
    </row>
    <row r="611">
      <c r="A611" s="0" t="n">
        <v>606</v>
      </c>
      <c r="B611" s="6" t="inlineStr">
        <is>
          <t>Unknown</t>
        </is>
      </c>
      <c r="C611" s="6" t="inlineStr">
        <is>
          <t>Unknown Riced Cauliflower</t>
        </is>
      </c>
      <c r="D611" s="0" t="n"/>
      <c r="E611" s="7" t="inlineStr">
        <is>
          <t>Groceries</t>
        </is>
      </c>
      <c r="F611" s="7" t="inlineStr">
        <is>
          <t>Frozen Vegetables</t>
        </is>
      </c>
      <c r="G611" s="0" t="inlineStr">
        <is>
          <t>Unknown</t>
        </is>
      </c>
      <c r="H611" s="0" t="n"/>
      <c r="I611" s="7">
        <f>IF(H611="","",VALUE(LEFT(H611,FIND("/",H611)-1))/VALUE(MID(H611,FIND("/",H611)+1,99)))</f>
        <v/>
      </c>
      <c r="J611" s="0" t="inlineStr">
        <is>
          <t>Product text readable; brand, size and price unreadable.</t>
        </is>
      </c>
      <c r="K611" s="0" t="inlineStr">
        <is>
          <t>https://www.cascadianfarm.com/products/frozen-riced-cauliflower</t>
        </is>
      </c>
      <c r="L611" s="0" t="inlineStr">
        <is>
          <t>IMG_7086.HEIC</t>
        </is>
      </c>
    </row>
    <row r="612">
      <c r="A612" s="0" t="n">
        <v>607</v>
      </c>
      <c r="B612" s="6" t="inlineStr">
        <is>
          <t>Unknown</t>
        </is>
      </c>
      <c r="C612" s="6" t="inlineStr">
        <is>
          <t>Unknown green/white frozen vegetable facings</t>
        </is>
      </c>
      <c r="D612" s="0" t="n"/>
      <c r="E612" s="7" t="inlineStr">
        <is>
          <t>Groceries</t>
        </is>
      </c>
      <c r="F612" s="7" t="inlineStr">
        <is>
          <t>Frozen Vegetables</t>
        </is>
      </c>
      <c r="G612" s="0" t="inlineStr">
        <is>
          <t>Unknown</t>
        </is>
      </c>
      <c r="H612" s="0" t="n"/>
      <c r="I612" s="7">
        <f>IF(H612="","",VALUE(LEFT(H612,FIND("/",H612)-1))/VALUE(MID(H612,FIND("/",H612)+1,99)))</f>
        <v/>
      </c>
      <c r="J612" s="0" t="inlineStr">
        <is>
          <t>Brand/name/size unreadable.</t>
        </is>
      </c>
      <c r="K612" s="0" t="str"/>
      <c r="L612" s="0" t="inlineStr">
        <is>
          <t>IMG_7086.HEIC</t>
        </is>
      </c>
    </row>
    <row r="613">
      <c r="A613" s="0" t="n">
        <v>608</v>
      </c>
      <c r="B613" s="6" t="inlineStr">
        <is>
          <t>Unknown</t>
        </is>
      </c>
      <c r="C613" s="6" t="inlineStr">
        <is>
          <t>Unknown lower mixed frozen vegetable/processed-food facings</t>
        </is>
      </c>
      <c r="D613" s="0" t="n">
        <v>18</v>
      </c>
      <c r="E613" s="7" t="inlineStr">
        <is>
          <t>Groceries</t>
        </is>
      </c>
      <c r="F613" s="7" t="inlineStr">
        <is>
          <t>Frozen Vegetables</t>
        </is>
      </c>
      <c r="G613" s="0" t="inlineStr">
        <is>
          <t>Unknown</t>
        </is>
      </c>
      <c r="H613" s="0" t="n"/>
      <c r="I613" s="7">
        <f>IF(H613="","",VALUE(LEFT(H613,FIND("/",H613)-1))/VALUE(MID(H613,FIND("/",H613)+1,99)))</f>
        <v/>
      </c>
      <c r="J613" s="0" t="inlineStr">
        <is>
          <t>Nearby tags include HK$18.0 and HK$57.0; product names unreadable.</t>
        </is>
      </c>
      <c r="K613" s="0" t="str"/>
      <c r="L613" s="0" t="inlineStr">
        <is>
          <t>IMG_7086.HEIC</t>
        </is>
      </c>
    </row>
    <row r="614">
      <c r="A614" s="0" t="n">
        <v>609</v>
      </c>
      <c r="B614" s="6" t="inlineStr">
        <is>
          <t>Unknown</t>
        </is>
      </c>
      <c r="C614" s="6" t="inlineStr">
        <is>
          <t>Unknown orange/white frozen noodle facings</t>
        </is>
      </c>
      <c r="D614" s="0" t="n">
        <v>22</v>
      </c>
      <c r="E614" s="7" t="inlineStr">
        <is>
          <t>Groceries</t>
        </is>
      </c>
      <c r="F614" s="7" t="inlineStr">
        <is>
          <t>Rice &amp; Noodles</t>
        </is>
      </c>
      <c r="G614" s="0" t="inlineStr">
        <is>
          <t>Unknown</t>
        </is>
      </c>
      <c r="H614" s="0" t="n"/>
      <c r="I614" s="7">
        <f>IF(H614="","",VALUE(LEFT(H614,FIND("/",H614)-1))/VALUE(MID(H614,FIND("/",H614)+1,99)))</f>
        <v/>
      </c>
      <c r="J614" s="0" t="inlineStr">
        <is>
          <t>Brand/name/size unreadable; nearby HK$22.0 tags.</t>
        </is>
      </c>
      <c r="K614" s="0" t="str"/>
      <c r="L614" s="0" t="inlineStr">
        <is>
          <t>IMG_7087.HEIC</t>
        </is>
      </c>
    </row>
    <row r="615">
      <c r="A615" s="0" t="n">
        <v>610</v>
      </c>
      <c r="B615" s="6" t="inlineStr">
        <is>
          <t>KERISOM</t>
        </is>
      </c>
      <c r="C615" s="6" t="inlineStr">
        <is>
          <t>Unknown KERISOM frozen prepared-food facings</t>
        </is>
      </c>
      <c r="D615" s="0" t="n"/>
      <c r="E615" s="7" t="inlineStr">
        <is>
          <t>Groceries</t>
        </is>
      </c>
      <c r="F615" s="7" t="n"/>
      <c r="G615" s="0" t="inlineStr">
        <is>
          <t>Unknown</t>
        </is>
      </c>
      <c r="H615" s="0" t="n"/>
      <c r="I615" s="7">
        <f>IF(H615="","",VALUE(LEFT(H615,FIND("/",H615)-1))/VALUE(MID(H615,FIND("/",H615)+1,99)))</f>
        <v/>
      </c>
      <c r="J615" s="0" t="inlineStr">
        <is>
          <t>KERISOM branding readable; exact product/name/size and reliable subcategory are not established from the image.</t>
        </is>
      </c>
      <c r="K615" s="0" t="inlineStr">
        <is>
          <t>https://www.delifans.com.hk/en/products/kerisom-crab-sauce-rice-330g</t>
        </is>
      </c>
      <c r="L615" s="0" t="inlineStr">
        <is>
          <t>IMG_7087.HEIC</t>
        </is>
      </c>
    </row>
    <row r="616">
      <c r="A616" s="0" t="n">
        <v>611</v>
      </c>
      <c r="B616" s="6" t="inlineStr">
        <is>
          <t>Unknown</t>
        </is>
      </c>
      <c r="C616" s="6" t="inlineStr">
        <is>
          <t>Unknown Japanese-style frozen noodle facings</t>
        </is>
      </c>
      <c r="D616" s="0" t="n">
        <v>18</v>
      </c>
      <c r="E616" s="7" t="inlineStr">
        <is>
          <t>Groceries</t>
        </is>
      </c>
      <c r="F616" s="7" t="inlineStr">
        <is>
          <t>Rice &amp; Noodles</t>
        </is>
      </c>
      <c r="G616" s="0" t="inlineStr">
        <is>
          <t>Unknown</t>
        </is>
      </c>
      <c r="H616" s="0" t="n"/>
      <c r="I616" s="7">
        <f>IF(H616="","",VALUE(LEFT(H616,FIND("/",H616)-1))/VALUE(MID(H616,FIND("/",H616)+1,99)))</f>
        <v/>
      </c>
      <c r="J616" s="0" t="inlineStr">
        <is>
          <t>Brand/name/size unreadable; nearby HK$18.0 tags.</t>
        </is>
      </c>
      <c r="K616" s="0" t="str"/>
      <c r="L616" s="0" t="inlineStr">
        <is>
          <t>IMG_7087.HEIC</t>
        </is>
      </c>
    </row>
    <row r="617">
      <c r="A617" s="0" t="n">
        <v>612</v>
      </c>
      <c r="B617" s="6" t="inlineStr">
        <is>
          <t>Unknown</t>
        </is>
      </c>
      <c r="C617" s="6" t="inlineStr">
        <is>
          <t>Unknown blue/white frozen noodle facings</t>
        </is>
      </c>
      <c r="D617" s="0" t="n">
        <v>29.9</v>
      </c>
      <c r="E617" s="7" t="inlineStr">
        <is>
          <t>Groceries</t>
        </is>
      </c>
      <c r="F617" s="7" t="inlineStr">
        <is>
          <t>Rice &amp; Noodles</t>
        </is>
      </c>
      <c r="G617" s="0" t="inlineStr">
        <is>
          <t>Unknown</t>
        </is>
      </c>
      <c r="H617" s="0" t="n"/>
      <c r="I617" s="7">
        <f>IF(H617="","",VALUE(LEFT(H617,FIND("/",H617)-1))/VALUE(MID(H617,FIND("/",H617)+1,99)))</f>
        <v/>
      </c>
      <c r="J617" s="0" t="inlineStr">
        <is>
          <t>Brand/name/size unreadable; nearby HK$29.9 tag.</t>
        </is>
      </c>
      <c r="K617" s="0" t="str"/>
      <c r="L617" s="0" t="inlineStr">
        <is>
          <t>IMG_7087.HEIC</t>
        </is>
      </c>
    </row>
    <row r="618">
      <c r="A618" s="0" t="n">
        <v>613</v>
      </c>
      <c r="B618" s="6" t="inlineStr">
        <is>
          <t>Unknown</t>
        </is>
      </c>
      <c r="C618" s="6" t="inlineStr">
        <is>
          <t>Unknown green/white frozen noodle facing</t>
        </is>
      </c>
      <c r="D618" s="0" t="n">
        <v>39.9</v>
      </c>
      <c r="E618" s="7" t="inlineStr">
        <is>
          <t>Groceries</t>
        </is>
      </c>
      <c r="F618" s="7" t="inlineStr">
        <is>
          <t>Rice &amp; Noodles</t>
        </is>
      </c>
      <c r="G618" s="0" t="inlineStr">
        <is>
          <t>Unknown</t>
        </is>
      </c>
      <c r="H618" s="0" t="n"/>
      <c r="I618" s="7">
        <f>IF(H618="","",VALUE(LEFT(H618,FIND("/",H618)-1))/VALUE(MID(H618,FIND("/",H618)+1,99)))</f>
        <v/>
      </c>
      <c r="J618" s="0" t="inlineStr">
        <is>
          <t>Brand/name/size unreadable; nearby HK$39.9 tag.</t>
        </is>
      </c>
      <c r="K618" s="0" t="str"/>
      <c r="L618" s="0" t="inlineStr">
        <is>
          <t>IMG_7087.HEIC</t>
        </is>
      </c>
    </row>
    <row r="619">
      <c r="A619" s="0" t="n">
        <v>614</v>
      </c>
      <c r="B619" s="6" t="inlineStr">
        <is>
          <t>Unknown</t>
        </is>
      </c>
      <c r="C619" s="6" t="inlineStr">
        <is>
          <t>Unknown Pizza SALAME</t>
        </is>
      </c>
      <c r="D619" s="0" t="n">
        <v>29.9</v>
      </c>
      <c r="E619" s="7" t="inlineStr">
        <is>
          <t>Groceries</t>
        </is>
      </c>
      <c r="F619" s="7" t="inlineStr">
        <is>
          <t>Bread &amp; Bakery</t>
        </is>
      </c>
      <c r="G619" s="0" t="inlineStr">
        <is>
          <t>Unknown</t>
        </is>
      </c>
      <c r="H619" s="0" t="n"/>
      <c r="I619" s="7">
        <f>IF(H619="","",VALUE(LEFT(H619,FIND("/",H619)-1))/VALUE(MID(H619,FIND("/",H619)+1,99)))</f>
        <v/>
      </c>
      <c r="J619" s="0" t="inlineStr">
        <is>
          <t>Pizza name readable, but no exact supporting product page was confirmed; brand/size unreadable; nearby HK$29.9 tag.</t>
        </is>
      </c>
      <c r="K619" s="0" t="str"/>
      <c r="L619" s="0" t="inlineStr">
        <is>
          <t>IMG_7087.HEIC</t>
        </is>
      </c>
    </row>
    <row r="620">
      <c r="A620" s="0" t="n">
        <v>615</v>
      </c>
      <c r="B620" s="6" t="inlineStr">
        <is>
          <t>Unknown</t>
        </is>
      </c>
      <c r="C620" s="6" t="inlineStr">
        <is>
          <t>Unknown Tomato Cheese Pizza</t>
        </is>
      </c>
      <c r="D620" s="0" t="n"/>
      <c r="E620" s="7" t="inlineStr">
        <is>
          <t>Groceries</t>
        </is>
      </c>
      <c r="F620" s="7" t="inlineStr">
        <is>
          <t>Bread &amp; Bakery</t>
        </is>
      </c>
      <c r="G620" s="0" t="inlineStr">
        <is>
          <t>Unknown</t>
        </is>
      </c>
      <c r="H620" s="0" t="n"/>
      <c r="I620" s="7">
        <f>IF(H620="","",VALUE(LEFT(H620,FIND("/",H620)-1))/VALUE(MID(H620,FIND("/",H620)+1,99)))</f>
        <v/>
      </c>
      <c r="J620" s="0" t="inlineStr">
        <is>
          <t>Korean product text readable; brand/size/price unreadable.</t>
        </is>
      </c>
      <c r="K620" s="0" t="str"/>
      <c r="L620" s="0" t="inlineStr">
        <is>
          <t>IMG_7087.HEIC</t>
        </is>
      </c>
    </row>
    <row r="621">
      <c r="A621" s="0" t="n">
        <v>616</v>
      </c>
      <c r="B621" s="6" t="inlineStr">
        <is>
          <t>Unknown</t>
        </is>
      </c>
      <c r="C621" s="6" t="inlineStr">
        <is>
          <t>Unknown Fish Noodle</t>
        </is>
      </c>
      <c r="D621" s="0" t="n">
        <v>18</v>
      </c>
      <c r="E621" s="7" t="inlineStr">
        <is>
          <t>Groceries</t>
        </is>
      </c>
      <c r="F621" s="7" t="inlineStr">
        <is>
          <t>Rice &amp; Noodles</t>
        </is>
      </c>
      <c r="G621" s="0" t="inlineStr">
        <is>
          <t>Unknown</t>
        </is>
      </c>
      <c r="H621" s="0" t="n"/>
      <c r="I621" s="7">
        <f>IF(H621="","",VALUE(LEFT(H621,FIND("/",H621)-1))/VALUE(MID(H621,FIND("/",H621)+1,99)))</f>
        <v/>
      </c>
      <c r="J621" s="0" t="inlineStr">
        <is>
          <t>Product text readable; brand/size unreadable; nearby HK$18.0 tag.</t>
        </is>
      </c>
      <c r="K621" s="0" t="str"/>
      <c r="L621" s="0" t="inlineStr">
        <is>
          <t>IMG_7088.HEIC</t>
        </is>
      </c>
    </row>
    <row r="622">
      <c r="A622" s="0" t="n">
        <v>617</v>
      </c>
      <c r="B622" s="6" t="inlineStr">
        <is>
          <t>Unknown</t>
        </is>
      </c>
      <c r="C622" s="6" t="inlineStr">
        <is>
          <t>Unknown Inaniwa-style Udon</t>
        </is>
      </c>
      <c r="D622" s="0" t="n">
        <v>39.9</v>
      </c>
      <c r="E622" s="7" t="inlineStr">
        <is>
          <t>Groceries</t>
        </is>
      </c>
      <c r="F622" s="7" t="inlineStr">
        <is>
          <t>Rice &amp; Noodles</t>
        </is>
      </c>
      <c r="G622" s="0" t="inlineStr">
        <is>
          <t>5 x 250G</t>
        </is>
      </c>
      <c r="H622" s="0" t="n"/>
      <c r="I622" s="7">
        <f>IF(H622="","",VALUE(LEFT(H622,FIND("/",H622)-1))/VALUE(MID(H622,FIND("/",H622)+1,99)))</f>
        <v/>
      </c>
      <c r="J622" s="0" t="inlineStr">
        <is>
          <t>Package states 5 bags x 250 g; brand unreadable; shelf tag HK$39.9.</t>
        </is>
      </c>
      <c r="K622" s="0" t="str"/>
      <c r="L622" s="0" t="inlineStr">
        <is>
          <t>IMG_7088.HEIC</t>
        </is>
      </c>
    </row>
    <row r="623">
      <c r="A623" s="0" t="n">
        <v>618</v>
      </c>
      <c r="B623" s="6" t="inlineStr">
        <is>
          <t>Unknown</t>
        </is>
      </c>
      <c r="C623" s="6" t="inlineStr">
        <is>
          <t>Unknown white-pack frozen noodle</t>
        </is>
      </c>
      <c r="D623" s="0" t="n"/>
      <c r="E623" s="7" t="inlineStr">
        <is>
          <t>Groceries</t>
        </is>
      </c>
      <c r="F623" s="7" t="inlineStr">
        <is>
          <t>Rice &amp; Noodles</t>
        </is>
      </c>
      <c r="G623" s="0" t="inlineStr">
        <is>
          <t>Unknown</t>
        </is>
      </c>
      <c r="H623" s="0" t="n"/>
      <c r="I623" s="7">
        <f>IF(H623="","",VALUE(LEFT(H623,FIND("/",H623)-1))/VALUE(MID(H623,FIND("/",H623)+1,99)))</f>
        <v/>
      </c>
      <c r="J623" s="0" t="inlineStr">
        <is>
          <t>Brand/name/size unreadable.</t>
        </is>
      </c>
      <c r="K623" s="0" t="str"/>
      <c r="L623" s="0" t="inlineStr">
        <is>
          <t>IMG_7088.HEIC</t>
        </is>
      </c>
    </row>
    <row r="624">
      <c r="A624" s="0" t="n">
        <v>619</v>
      </c>
      <c r="B624" s="6" t="inlineStr">
        <is>
          <t>Unknown</t>
        </is>
      </c>
      <c r="C624" s="6" t="inlineStr">
        <is>
          <t>Unknown Sous Vide Confit Duck Leg</t>
        </is>
      </c>
      <c r="D624" s="0" t="n">
        <v>29.9</v>
      </c>
      <c r="E624" s="7" t="inlineStr">
        <is>
          <t>Groceries</t>
        </is>
      </c>
      <c r="F624" s="7" t="inlineStr">
        <is>
          <t>Frozen Meat</t>
        </is>
      </c>
      <c r="G624" s="0" t="inlineStr">
        <is>
          <t>Unknown</t>
        </is>
      </c>
      <c r="H624" s="0" t="n"/>
      <c r="I624" s="7">
        <f>IF(H624="","",VALUE(LEFT(H624,FIND("/",H624)-1))/VALUE(MID(H624,FIND("/",H624)+1,99)))</f>
        <v/>
      </c>
      <c r="J624" s="0" t="inlineStr">
        <is>
          <t>Product text readable; brand/size unreadable; nearby HK$29.9 tag.</t>
        </is>
      </c>
      <c r="K624" s="0" t="str"/>
      <c r="L624" s="0" t="inlineStr">
        <is>
          <t>IMG_7088.HEIC</t>
        </is>
      </c>
    </row>
    <row r="625">
      <c r="A625" s="0" t="n">
        <v>620</v>
      </c>
      <c r="B625" s="6" t="inlineStr">
        <is>
          <t>Unknown</t>
        </is>
      </c>
      <c r="C625" s="6" t="inlineStr">
        <is>
          <t>Unknown Pizza SALAME</t>
        </is>
      </c>
      <c r="D625" s="0" t="n">
        <v>29.9</v>
      </c>
      <c r="E625" s="7" t="inlineStr">
        <is>
          <t>Groceries</t>
        </is>
      </c>
      <c r="F625" s="7" t="inlineStr">
        <is>
          <t>Bread &amp; Bakery</t>
        </is>
      </c>
      <c r="G625" s="0" t="inlineStr">
        <is>
          <t>Unknown</t>
        </is>
      </c>
      <c r="H625" s="0" t="n"/>
      <c r="I625" s="7">
        <f>IF(H625="","",VALUE(LEFT(H625,FIND("/",H625)-1))/VALUE(MID(H625,FIND("/",H625)+1,99)))</f>
        <v/>
      </c>
      <c r="J625" s="0" t="inlineStr">
        <is>
          <t>Pizza name readable; brand/size unreadable; nearby HK$29.9 tag.</t>
        </is>
      </c>
      <c r="K625" s="0" t="str"/>
      <c r="L625" s="0" t="inlineStr">
        <is>
          <t>IMG_7088.HEIC</t>
        </is>
      </c>
    </row>
    <row r="626">
      <c r="A626" s="0" t="n">
        <v>621</v>
      </c>
      <c r="B626" s="6" t="inlineStr">
        <is>
          <t>Unknown</t>
        </is>
      </c>
      <c r="C626" s="6" t="inlineStr">
        <is>
          <t>Unknown Tomato Cheese Pizza</t>
        </is>
      </c>
      <c r="D626" s="0" t="n"/>
      <c r="E626" s="7" t="inlineStr">
        <is>
          <t>Groceries</t>
        </is>
      </c>
      <c r="F626" s="7" t="inlineStr">
        <is>
          <t>Bread &amp; Bakery</t>
        </is>
      </c>
      <c r="G626" s="0" t="inlineStr">
        <is>
          <t>Unknown</t>
        </is>
      </c>
      <c r="H626" s="0" t="n"/>
      <c r="I626" s="7">
        <f>IF(H626="","",VALUE(LEFT(H626,FIND("/",H626)-1))/VALUE(MID(H626,FIND("/",H626)+1,99)))</f>
        <v/>
      </c>
      <c r="J626" s="0" t="inlineStr">
        <is>
          <t>Korean product text readable; brand/size/price unreadable.</t>
        </is>
      </c>
      <c r="K626" s="0" t="str"/>
      <c r="L626" s="0" t="inlineStr">
        <is>
          <t>IMG_7088.HEIC</t>
        </is>
      </c>
    </row>
    <row r="627">
      <c r="A627" s="0" t="n">
        <v>622</v>
      </c>
      <c r="B627" s="6" t="inlineStr">
        <is>
          <t>Unknown</t>
        </is>
      </c>
      <c r="C627" s="6" t="inlineStr">
        <is>
          <t>Unknown packaged white-bread sandwich</t>
        </is>
      </c>
      <c r="D627" s="0" t="n">
        <v>15</v>
      </c>
      <c r="E627" s="7" t="inlineStr">
        <is>
          <t>Fresh Food</t>
        </is>
      </c>
      <c r="F627" s="7" t="n"/>
      <c r="G627" s="0" t="inlineStr">
        <is>
          <t>Unknown</t>
        </is>
      </c>
      <c r="H627" s="0" t="n"/>
      <c r="I627" s="7">
        <f>IF(H627="","",VALUE(LEFT(H627,FIND("/",H627)-1))/VALUE(MID(H627,FIND("/",H627)+1,99)))</f>
        <v/>
      </c>
      <c r="J627" s="0" t="inlineStr">
        <is>
          <t>Top shelf, left-to-right; name and weight unreadable.</t>
        </is>
      </c>
      <c r="K627" s="0" t="str"/>
      <c r="L627" s="0" t="inlineStr">
        <is>
          <t>IMG_7089.HEIC</t>
        </is>
      </c>
    </row>
    <row r="628">
      <c r="A628" s="0" t="n">
        <v>623</v>
      </c>
      <c r="B628" s="6" t="inlineStr">
        <is>
          <t>Unknown</t>
        </is>
      </c>
      <c r="C628" s="6" t="inlineStr">
        <is>
          <t>Unknown packaged sandwich, second visible variant</t>
        </is>
      </c>
      <c r="D628" s="0" t="n">
        <v>15</v>
      </c>
      <c r="E628" s="7" t="inlineStr">
        <is>
          <t>Fresh Food</t>
        </is>
      </c>
      <c r="F628" s="7" t="n"/>
      <c r="G628" s="0" t="inlineStr">
        <is>
          <t>Unknown</t>
        </is>
      </c>
      <c r="H628" s="0" t="n"/>
      <c r="I628" s="7">
        <f>IF(H628="","",VALUE(LEFT(H628,FIND("/",H628)-1))/VALUE(MID(H628,FIND("/",H628)+1,99)))</f>
        <v/>
      </c>
      <c r="J628" s="0" t="inlineStr">
        <is>
          <t>Top shelf, distinct bread/filling appearance; label unreadable.</t>
        </is>
      </c>
      <c r="K628" s="0" t="str"/>
      <c r="L628" s="0" t="inlineStr">
        <is>
          <t>IMG_7089.HEIC</t>
        </is>
      </c>
    </row>
    <row r="629">
      <c r="A629" s="0" t="n">
        <v>624</v>
      </c>
      <c r="B629" s="6" t="inlineStr">
        <is>
          <t>Unknown</t>
        </is>
      </c>
      <c r="C629" s="6" t="inlineStr">
        <is>
          <t>Unknown triangle onigiri/rice snack, variant 1</t>
        </is>
      </c>
      <c r="D629" s="0" t="n">
        <v>24</v>
      </c>
      <c r="E629" s="7" t="inlineStr">
        <is>
          <t>Fresh Food</t>
        </is>
      </c>
      <c r="F629" s="7" t="n"/>
      <c r="G629" s="0" t="inlineStr">
        <is>
          <t>Unknown</t>
        </is>
      </c>
      <c r="H629" s="0" t="n"/>
      <c r="I629" s="7">
        <f>IF(H629="","",VALUE(LEFT(H629,FIND("/",H629)-1))/VALUE(MID(H629,FIND("/",H629)+1,99)))</f>
        <v/>
      </c>
      <c r="J629" s="0" t="inlineStr">
        <is>
          <t>Third shelf, left-to-right; filling label unreadable.</t>
        </is>
      </c>
      <c r="K629" s="0" t="str"/>
      <c r="L629" s="0" t="inlineStr">
        <is>
          <t>IMG_7089.HEIC</t>
        </is>
      </c>
    </row>
    <row r="630">
      <c r="A630" s="0" t="n">
        <v>625</v>
      </c>
      <c r="B630" s="6" t="inlineStr">
        <is>
          <t>Unknown</t>
        </is>
      </c>
      <c r="C630" s="6" t="inlineStr">
        <is>
          <t>Unknown triangle onigiri/rice snack, variant 2</t>
        </is>
      </c>
      <c r="D630" s="0" t="n">
        <v>24</v>
      </c>
      <c r="E630" s="7" t="inlineStr">
        <is>
          <t>Fresh Food</t>
        </is>
      </c>
      <c r="F630" s="7" t="n"/>
      <c r="G630" s="0" t="inlineStr">
        <is>
          <t>Unknown</t>
        </is>
      </c>
      <c r="H630" s="0" t="n"/>
      <c r="I630" s="7">
        <f>IF(H630="","",VALUE(LEFT(H630,FIND("/",H630)-1))/VALUE(MID(H630,FIND("/",H630)+1,99)))</f>
        <v/>
      </c>
      <c r="J630" s="0" t="inlineStr">
        <is>
          <t>Third shelf, distinct label/filling; promotion appears $24/2.</t>
        </is>
      </c>
      <c r="K630" s="0" t="str"/>
      <c r="L630" s="0" t="inlineStr">
        <is>
          <t>IMG_7089.HEIC</t>
        </is>
      </c>
    </row>
    <row r="631">
      <c r="A631" s="0" t="n">
        <v>626</v>
      </c>
      <c r="B631" s="6" t="inlineStr">
        <is>
          <t>Unknown</t>
        </is>
      </c>
      <c r="C631" s="6" t="inlineStr">
        <is>
          <t>Unknown triangle onigiri/rice snack, variant 3</t>
        </is>
      </c>
      <c r="D631" s="0" t="n">
        <v>24</v>
      </c>
      <c r="E631" s="7" t="inlineStr">
        <is>
          <t>Fresh Food</t>
        </is>
      </c>
      <c r="F631" s="7" t="n"/>
      <c r="G631" s="0" t="inlineStr">
        <is>
          <t>Unknown</t>
        </is>
      </c>
      <c r="H631" s="0" t="inlineStr">
        <is>
          <t>24/2</t>
        </is>
      </c>
      <c r="I631" s="7">
        <f>IF(H631="","",VALUE(LEFT(H631,FIND("/",H631)-1))/VALUE(MID(H631,FIND("/",H631)+1,99)))</f>
        <v/>
      </c>
      <c r="J631" s="0" t="inlineStr">
        <is>
          <t>Promotion shown as $24/2; exact product unreadable.</t>
        </is>
      </c>
      <c r="K631" s="0" t="str"/>
      <c r="L631" s="0" t="inlineStr">
        <is>
          <t>IMG_7089.HEIC</t>
        </is>
      </c>
    </row>
    <row r="632">
      <c r="A632" s="0" t="n">
        <v>627</v>
      </c>
      <c r="B632" s="6" t="inlineStr">
        <is>
          <t>Unknown</t>
        </is>
      </c>
      <c r="C632" s="6" t="inlineStr">
        <is>
          <t>Unknown triangle onigiri/rice snack, variant 4</t>
        </is>
      </c>
      <c r="D632" s="0" t="n">
        <v>12</v>
      </c>
      <c r="E632" s="7" t="inlineStr">
        <is>
          <t>Fresh Food</t>
        </is>
      </c>
      <c r="F632" s="7" t="n"/>
      <c r="G632" s="0" t="inlineStr">
        <is>
          <t>Unknown</t>
        </is>
      </c>
      <c r="H632" s="0" t="n"/>
      <c r="I632" s="7">
        <f>IF(H632="","",VALUE(LEFT(H632,FIND("/",H632)-1))/VALUE(MID(H632,FIND("/",H632)+1,99)))</f>
        <v/>
      </c>
      <c r="J632" s="0" t="inlineStr">
        <is>
          <t>Fourth shelf, distinct visible filling; label unreadable.</t>
        </is>
      </c>
      <c r="K632" s="0" t="str"/>
      <c r="L632" s="0" t="inlineStr">
        <is>
          <t>IMG_7089.HEIC</t>
        </is>
      </c>
    </row>
    <row r="633">
      <c r="A633" s="0" t="n">
        <v>628</v>
      </c>
      <c r="B633" s="6" t="inlineStr">
        <is>
          <t>Unknown</t>
        </is>
      </c>
      <c r="C633" s="6" t="inlineStr">
        <is>
          <t>Unknown triangle onigiri/rice snack, variant 5</t>
        </is>
      </c>
      <c r="D633" s="0" t="n">
        <v>12</v>
      </c>
      <c r="E633" s="7" t="inlineStr">
        <is>
          <t>Fresh Food</t>
        </is>
      </c>
      <c r="F633" s="7" t="n"/>
      <c r="G633" s="0" t="inlineStr">
        <is>
          <t>Unknown</t>
        </is>
      </c>
      <c r="H633" s="0" t="n"/>
      <c r="I633" s="7">
        <f>IF(H633="","",VALUE(LEFT(H633,FIND("/",H633)-1))/VALUE(MID(H633,FIND("/",H633)+1,99)))</f>
        <v/>
      </c>
      <c r="J633" s="0" t="inlineStr">
        <is>
          <t>Fourth shelf, distinct visible filling; label unreadable.</t>
        </is>
      </c>
      <c r="K633" s="0" t="str"/>
      <c r="L633" s="0" t="inlineStr">
        <is>
          <t>IMG_7089.HEIC</t>
        </is>
      </c>
    </row>
    <row r="634">
      <c r="A634" s="0" t="n">
        <v>629</v>
      </c>
      <c r="B634" s="6" t="inlineStr">
        <is>
          <t>Unknown</t>
        </is>
      </c>
      <c r="C634" s="6" t="inlineStr">
        <is>
          <t>Unknown prepared bento/ready meal, variant 1</t>
        </is>
      </c>
      <c r="D634" s="0" t="n">
        <v>20</v>
      </c>
      <c r="E634" s="7" t="inlineStr">
        <is>
          <t>Fresh Food</t>
        </is>
      </c>
      <c r="F634" s="7" t="n"/>
      <c r="G634" s="0" t="inlineStr">
        <is>
          <t>Unknown</t>
        </is>
      </c>
      <c r="H634" s="0" t="n"/>
      <c r="I634" s="7">
        <f>IF(H634="","",VALUE(LEFT(H634,FIND("/",H634)-1))/VALUE(MID(H634,FIND("/",H634)+1,99)))</f>
        <v/>
      </c>
      <c r="J634" s="0" t="inlineStr">
        <is>
          <t>Yellow sleeve; exact name/weight unreadable.</t>
        </is>
      </c>
      <c r="K634" s="0" t="str"/>
      <c r="L634" s="0" t="inlineStr">
        <is>
          <t>IMG_7089.HEIC</t>
        </is>
      </c>
    </row>
    <row r="635">
      <c r="A635" s="0" t="n">
        <v>630</v>
      </c>
      <c r="B635" s="6" t="inlineStr">
        <is>
          <t>Unknown</t>
        </is>
      </c>
      <c r="C635" s="6" t="inlineStr">
        <is>
          <t>Unknown prepared bento/ready meal, variant 2</t>
        </is>
      </c>
      <c r="D635" s="0" t="n">
        <v>29</v>
      </c>
      <c r="E635" s="7" t="inlineStr">
        <is>
          <t>Fresh Food</t>
        </is>
      </c>
      <c r="F635" s="7" t="n"/>
      <c r="G635" s="0" t="inlineStr">
        <is>
          <t>Unknown</t>
        </is>
      </c>
      <c r="H635" s="0" t="n"/>
      <c r="I635" s="7">
        <f>IF(H635="","",VALUE(LEFT(H635,FIND("/",H635)-1))/VALUE(MID(H635,FIND("/",H635)+1,99)))</f>
        <v/>
      </c>
      <c r="J635" s="0" t="inlineStr">
        <is>
          <t>Yellow sleeve; distinct tray contents; exact name/weight unreadable.</t>
        </is>
      </c>
      <c r="K635" s="0" t="str"/>
      <c r="L635" s="0" t="inlineStr">
        <is>
          <t>IMG_7089.HEIC</t>
        </is>
      </c>
    </row>
    <row r="636">
      <c r="A636" s="0" t="n">
        <v>631</v>
      </c>
      <c r="B636" s="6" t="inlineStr">
        <is>
          <t>Unknown</t>
        </is>
      </c>
      <c r="C636" s="6" t="inlineStr">
        <is>
          <t>Unknown prepared bento/ready meal, variant 3</t>
        </is>
      </c>
      <c r="D636" s="0" t="n">
        <v>29</v>
      </c>
      <c r="E636" s="7" t="inlineStr">
        <is>
          <t>Fresh Food</t>
        </is>
      </c>
      <c r="F636" s="7" t="n"/>
      <c r="G636" s="0" t="inlineStr">
        <is>
          <t>Unknown</t>
        </is>
      </c>
      <c r="H636" s="0" t="n"/>
      <c r="I636" s="7">
        <f>IF(H636="","",VALUE(LEFT(H636,FIND("/",H636)-1))/VALUE(MID(H636,FIND("/",H636)+1,99)))</f>
        <v/>
      </c>
      <c r="J636" s="0" t="inlineStr">
        <is>
          <t>Yellow sleeve; distinct tray contents; exact name/weight unreadable.</t>
        </is>
      </c>
      <c r="K636" s="0" t="str"/>
      <c r="L636" s="0" t="inlineStr">
        <is>
          <t>IMG_7089.HEIC</t>
        </is>
      </c>
    </row>
    <row r="637">
      <c r="A637" s="0" t="n">
        <v>632</v>
      </c>
      <c r="B637" s="6" t="inlineStr">
        <is>
          <t>Unknown</t>
        </is>
      </c>
      <c r="C637" s="6" t="inlineStr">
        <is>
          <t>Unknown bottled fruit/herbal drink, pale variant</t>
        </is>
      </c>
      <c r="D637" s="0" t="n">
        <v>9.5</v>
      </c>
      <c r="E637" s="7" t="inlineStr">
        <is>
          <t>Fresh Food</t>
        </is>
      </c>
      <c r="F637" s="7" t="n"/>
      <c r="G637" s="0" t="inlineStr">
        <is>
          <t>Unknown</t>
        </is>
      </c>
      <c r="H637" s="0" t="n"/>
      <c r="I637" s="7">
        <f>IF(H637="","",VALUE(LEFT(H637,FIND("/",H637)-1))/VALUE(MID(H637,FIND("/",H637)+1,99)))</f>
        <v/>
      </c>
      <c r="J637" s="0" t="inlineStr">
        <is>
          <t>Bottle label unreadable; price shelf label visible.</t>
        </is>
      </c>
      <c r="K637" s="0" t="str"/>
      <c r="L637" s="0" t="inlineStr">
        <is>
          <t>IMG_7089.HEIC</t>
        </is>
      </c>
    </row>
    <row r="638">
      <c r="A638" s="0" t="n">
        <v>633</v>
      </c>
      <c r="B638" s="6" t="inlineStr">
        <is>
          <t>Unknown</t>
        </is>
      </c>
      <c r="C638" s="6" t="inlineStr">
        <is>
          <t>Unknown bottled fruit/herbal drink, pink variant</t>
        </is>
      </c>
      <c r="D638" s="0" t="n">
        <v>9.5</v>
      </c>
      <c r="E638" s="7" t="inlineStr">
        <is>
          <t>Fresh Food</t>
        </is>
      </c>
      <c r="F638" s="7" t="n"/>
      <c r="G638" s="0" t="inlineStr">
        <is>
          <t>Unknown</t>
        </is>
      </c>
      <c r="H638" s="0" t="n"/>
      <c r="I638" s="7">
        <f>IF(H638="","",VALUE(LEFT(H638,FIND("/",H638)-1))/VALUE(MID(H638,FIND("/",H638)+1,99)))</f>
        <v/>
      </c>
      <c r="J638" s="0" t="inlineStr">
        <is>
          <t>Bottle label unreadable; price shelf label visible.</t>
        </is>
      </c>
      <c r="K638" s="0" t="str"/>
      <c r="L638" s="0" t="inlineStr">
        <is>
          <t>IMG_7089.HEIC</t>
        </is>
      </c>
    </row>
    <row r="639">
      <c r="A639" s="0" t="n">
        <v>634</v>
      </c>
      <c r="B639" s="6" t="inlineStr">
        <is>
          <t>Unknown</t>
        </is>
      </c>
      <c r="C639" s="6" t="inlineStr">
        <is>
          <t>Unknown canned sparkling fruit drink</t>
        </is>
      </c>
      <c r="D639" s="0" t="n"/>
      <c r="E639" s="7" t="inlineStr">
        <is>
          <t>Groceries</t>
        </is>
      </c>
      <c r="F639" s="7" t="n"/>
      <c r="G639" s="0" t="inlineStr">
        <is>
          <t>Unknown</t>
        </is>
      </c>
      <c r="H639" s="0" t="n"/>
      <c r="I639" s="7">
        <f>IF(H639="","",VALUE(LEFT(H639,FIND("/",H639)-1))/VALUE(MID(H639,FIND("/",H639)+1,99)))</f>
        <v/>
      </c>
      <c r="J639" s="0" t="inlineStr">
        <is>
          <t>Can branding resembles VID/Vio but is not sufficiently legible; exact price obscured.</t>
        </is>
      </c>
      <c r="K639" s="0" t="str"/>
      <c r="L639" s="0" t="inlineStr">
        <is>
          <t>IMG_7089.HEIC</t>
        </is>
      </c>
    </row>
    <row r="640">
      <c r="A640" s="0" t="n">
        <v>635</v>
      </c>
      <c r="B640" s="6" t="inlineStr">
        <is>
          <t>Unknown</t>
        </is>
      </c>
      <c r="C640" s="6" t="inlineStr">
        <is>
          <t>Unknown packaged melon pieces</t>
        </is>
      </c>
      <c r="D640" s="0" t="n">
        <v>31.9</v>
      </c>
      <c r="E640" s="7" t="inlineStr">
        <is>
          <t>Fresh Food</t>
        </is>
      </c>
      <c r="F640" s="7" t="n"/>
      <c r="G640" s="0" t="inlineStr">
        <is>
          <t>Unknown</t>
        </is>
      </c>
      <c r="H640" s="0" t="n"/>
      <c r="I640" s="7">
        <f>IF(H640="","",VALUE(LEFT(H640,FIND("/",H640)-1))/VALUE(MID(H640,FIND("/",H640)+1,99)))</f>
        <v/>
      </c>
      <c r="J640" s="0" t="inlineStr">
        <is>
          <t>Upper-left; package label unreadable.</t>
        </is>
      </c>
      <c r="K640" s="0" t="str"/>
      <c r="L640" s="0" t="inlineStr">
        <is>
          <t>IMG_7090.HEIC</t>
        </is>
      </c>
    </row>
    <row r="641">
      <c r="A641" s="0" t="n">
        <v>636</v>
      </c>
      <c r="B641" s="6" t="inlineStr">
        <is>
          <t>Calypso</t>
        </is>
      </c>
      <c r="C641" s="6" t="inlineStr">
        <is>
          <t>Calypso Jumbo Blueberries</t>
        </is>
      </c>
      <c r="D641" s="0" t="n">
        <v>26</v>
      </c>
      <c r="E641" s="7" t="inlineStr">
        <is>
          <t>Fresh Food</t>
        </is>
      </c>
      <c r="F641" s="7" t="n"/>
      <c r="G641" s="0" t="inlineStr">
        <is>
          <t>200G</t>
        </is>
      </c>
      <c r="H641" s="0" t="n"/>
      <c r="I641" s="7">
        <f>IF(H641="","",VALUE(LEFT(H641,FIND("/",H641)-1))/VALUE(MID(H641,FIND("/",H641)+1,99)))</f>
        <v/>
      </c>
      <c r="J641" s="0" t="inlineStr">
        <is>
          <t>Label visibly reads Calypso Blueberries, 200g.</t>
        </is>
      </c>
      <c r="K641" s="0" t="inlineStr">
        <is>
          <t>https://www.calypso.com.au/</t>
        </is>
      </c>
      <c r="L641" s="0" t="inlineStr">
        <is>
          <t>IMG_7090.HEIC</t>
        </is>
      </c>
    </row>
    <row r="642">
      <c r="A642" s="0" t="n">
        <v>637</v>
      </c>
      <c r="B642" s="6" t="inlineStr">
        <is>
          <t>CORE</t>
        </is>
      </c>
      <c r="C642" s="6" t="inlineStr">
        <is>
          <t>CORE Jumbo Blueberries</t>
        </is>
      </c>
      <c r="D642" s="0" t="n">
        <v>22</v>
      </c>
      <c r="E642" s="7" t="inlineStr">
        <is>
          <t>Fresh Food</t>
        </is>
      </c>
      <c r="F642" s="7" t="n"/>
      <c r="G642" s="0" t="inlineStr">
        <is>
          <t>Unknown</t>
        </is>
      </c>
      <c r="H642" s="0" t="n"/>
      <c r="I642" s="7">
        <f>IF(H642="","",VALUE(LEFT(H642,FIND("/",H642)-1))/VALUE(MID(H642,FIND("/",H642)+1,99)))</f>
        <v/>
      </c>
      <c r="J642" s="0" t="inlineStr">
        <is>
          <t>Brand and Jumbo Blueberries visible; pack weight unreadable.</t>
        </is>
      </c>
      <c r="K642" s="0" t="inlineStr">
        <is>
          <t>https://www.coreberries.com/</t>
        </is>
      </c>
      <c r="L642" s="0" t="inlineStr">
        <is>
          <t>IMG_7090.HEIC</t>
        </is>
      </c>
    </row>
    <row r="643">
      <c r="A643" s="0" t="n">
        <v>638</v>
      </c>
      <c r="B643" s="6" t="inlineStr">
        <is>
          <t>Unknown</t>
        </is>
      </c>
      <c r="C643" s="6" t="inlineStr">
        <is>
          <t>Unknown packaged red-flesh kiwifruit</t>
        </is>
      </c>
      <c r="D643" s="0" t="n">
        <v>22</v>
      </c>
      <c r="E643" s="7" t="inlineStr">
        <is>
          <t>Fresh Food</t>
        </is>
      </c>
      <c r="F643" s="7" t="n"/>
      <c r="G643" s="0" t="inlineStr">
        <is>
          <t>Unknown</t>
        </is>
      </c>
      <c r="H643" s="0" t="n"/>
      <c r="I643" s="7">
        <f>IF(H643="","",VALUE(LEFT(H643,FIND("/",H643)-1))/VALUE(MID(H643,FIND("/",H643)+1,99)))</f>
        <v/>
      </c>
      <c r="J643" s="0" t="inlineStr">
        <is>
          <t>Red Kiwi wording is descriptive rather than a verified brand; weight unreadable.</t>
        </is>
      </c>
      <c r="K643" s="0" t="str"/>
      <c r="L643" s="0" t="inlineStr">
        <is>
          <t>IMG_7090.HEIC</t>
        </is>
      </c>
    </row>
    <row r="644">
      <c r="A644" s="0" t="n">
        <v>639</v>
      </c>
      <c r="B644" s="6" t="inlineStr">
        <is>
          <t>Unknown</t>
        </is>
      </c>
      <c r="C644" s="6" t="inlineStr">
        <is>
          <t>Unknown brown round fruit pack</t>
        </is>
      </c>
      <c r="D644" s="0" t="n">
        <v>25</v>
      </c>
      <c r="E644" s="7" t="inlineStr">
        <is>
          <t>Fresh Food</t>
        </is>
      </c>
      <c r="F644" s="7" t="n"/>
      <c r="G644" s="0" t="inlineStr">
        <is>
          <t>Unknown</t>
        </is>
      </c>
      <c r="H644" s="0" t="n"/>
      <c r="I644" s="7">
        <f>IF(H644="","",VALUE(LEFT(H644,FIND("/",H644)-1))/VALUE(MID(H644,FIND("/",H644)+1,99)))</f>
        <v/>
      </c>
      <c r="J644" s="0" t="inlineStr">
        <is>
          <t>Likely kiwiberries or similar; product name unreadable.</t>
        </is>
      </c>
      <c r="K644" s="0" t="str"/>
      <c r="L644" s="0" t="inlineStr">
        <is>
          <t>IMG_7090.HEIC</t>
        </is>
      </c>
    </row>
    <row r="645">
      <c r="A645" s="0" t="n">
        <v>640</v>
      </c>
      <c r="B645" s="6" t="inlineStr">
        <is>
          <t>Unknown</t>
        </is>
      </c>
      <c r="C645" s="6" t="inlineStr">
        <is>
          <t>Unknown chilled salmon portion pack</t>
        </is>
      </c>
      <c r="D645" s="0" t="n">
        <v>19.9</v>
      </c>
      <c r="E645" s="7" t="inlineStr">
        <is>
          <t>Fresh Food</t>
        </is>
      </c>
      <c r="F645" s="7" t="n"/>
      <c r="G645" s="0" t="inlineStr">
        <is>
          <t>Unknown</t>
        </is>
      </c>
      <c r="H645" s="0" t="n"/>
      <c r="I645" s="7">
        <f>IF(H645="","",VALUE(LEFT(H645,FIND("/",H645)-1))/VALUE(MID(H645,FIND("/",H645)+1,99)))</f>
        <v/>
      </c>
      <c r="J645" s="0" t="inlineStr">
        <is>
          <t>Exact cut/weight unreadable.</t>
        </is>
      </c>
      <c r="K645" s="0" t="str"/>
      <c r="L645" s="0" t="inlineStr">
        <is>
          <t>IMG_7090.HEIC</t>
        </is>
      </c>
    </row>
    <row r="646">
      <c r="A646" s="0" t="n">
        <v>641</v>
      </c>
      <c r="B646" s="6" t="inlineStr">
        <is>
          <t>Unknown</t>
        </is>
      </c>
      <c r="C646" s="6" t="inlineStr">
        <is>
          <t>Unknown packaged yellow fruit</t>
        </is>
      </c>
      <c r="D646" s="0" t="n">
        <v>19.9</v>
      </c>
      <c r="E646" s="7" t="inlineStr">
        <is>
          <t>Fresh Food</t>
        </is>
      </c>
      <c r="F646" s="7" t="n"/>
      <c r="G646" s="0" t="inlineStr">
        <is>
          <t>Unknown</t>
        </is>
      </c>
      <c r="H646" s="0" t="n"/>
      <c r="I646" s="7">
        <f>IF(H646="","",VALUE(LEFT(H646,FIND("/",H646)-1))/VALUE(MID(H646,FIND("/",H646)+1,99)))</f>
        <v/>
      </c>
      <c r="J646" s="0" t="inlineStr">
        <is>
          <t>Foam-netted fruit; variety and weight unreadable.</t>
        </is>
      </c>
      <c r="K646" s="0" t="str"/>
      <c r="L646" s="0" t="inlineStr">
        <is>
          <t>IMG_7090.HEIC</t>
        </is>
      </c>
    </row>
    <row r="647">
      <c r="A647" s="0" t="n">
        <v>642</v>
      </c>
      <c r="B647" s="6" t="inlineStr">
        <is>
          <t>Unknown</t>
        </is>
      </c>
      <c r="C647" s="6" t="inlineStr">
        <is>
          <t>Unknown packaged orange/pink fruit</t>
        </is>
      </c>
      <c r="D647" s="0" t="n">
        <v>22.9</v>
      </c>
      <c r="E647" s="7" t="inlineStr">
        <is>
          <t>Fresh Food</t>
        </is>
      </c>
      <c r="F647" s="7" t="n"/>
      <c r="G647" s="0" t="inlineStr">
        <is>
          <t>Unknown</t>
        </is>
      </c>
      <c r="H647" s="0" t="n"/>
      <c r="I647" s="7">
        <f>IF(H647="","",VALUE(LEFT(H647,FIND("/",H647)-1))/VALUE(MID(H647,FIND("/",H647)+1,99)))</f>
        <v/>
      </c>
      <c r="J647" s="0" t="inlineStr">
        <is>
          <t>Exact variety and weight unreadable.</t>
        </is>
      </c>
      <c r="K647" s="0" t="str"/>
      <c r="L647" s="0" t="inlineStr">
        <is>
          <t>IMG_7090.HEIC</t>
        </is>
      </c>
    </row>
    <row r="648">
      <c r="A648" s="0" t="n">
        <v>643</v>
      </c>
      <c r="B648" s="6" t="inlineStr">
        <is>
          <t>Unknown</t>
        </is>
      </c>
      <c r="C648" s="6" t="inlineStr">
        <is>
          <t>Whole watermelon</t>
        </is>
      </c>
      <c r="D648" s="0" t="n">
        <v>25</v>
      </c>
      <c r="E648" s="7" t="inlineStr">
        <is>
          <t>Fresh Food</t>
        </is>
      </c>
      <c r="F648" s="7" t="n"/>
      <c r="G648" s="0" t="inlineStr">
        <is>
          <t>Unknown</t>
        </is>
      </c>
      <c r="H648" s="0" t="n"/>
      <c r="I648" s="7">
        <f>IF(H648="","",VALUE(LEFT(H648,FIND("/",H648)-1))/VALUE(MID(H648,FIND("/",H648)+1,99)))</f>
        <v/>
      </c>
      <c r="J648" s="0" t="inlineStr">
        <is>
          <t>Loose whole fruit; no readable SKU/weight.</t>
        </is>
      </c>
      <c r="K648" s="0" t="str"/>
      <c r="L648" s="0" t="inlineStr">
        <is>
          <t>IMG_7090.HEIC</t>
        </is>
      </c>
    </row>
    <row r="649">
      <c r="A649" s="0" t="n">
        <v>644</v>
      </c>
      <c r="B649" s="6" t="inlineStr">
        <is>
          <t>Unknown</t>
        </is>
      </c>
      <c r="C649" s="6" t="inlineStr">
        <is>
          <t>Whole melon</t>
        </is>
      </c>
      <c r="D649" s="0" t="n">
        <v>24</v>
      </c>
      <c r="E649" s="7" t="inlineStr">
        <is>
          <t>Fresh Food</t>
        </is>
      </c>
      <c r="F649" s="7" t="n"/>
      <c r="G649" s="0" t="inlineStr">
        <is>
          <t>Unknown</t>
        </is>
      </c>
      <c r="H649" s="0" t="n"/>
      <c r="I649" s="7">
        <f>IF(H649="","",VALUE(LEFT(H649,FIND("/",H649)-1))/VALUE(MID(H649,FIND("/",H649)+1,99)))</f>
        <v/>
      </c>
      <c r="J649" s="0" t="inlineStr">
        <is>
          <t>Loose whole fruit; variety/weight unreadable.</t>
        </is>
      </c>
      <c r="K649" s="0" t="str"/>
      <c r="L649" s="0" t="inlineStr">
        <is>
          <t>IMG_7090.HEIC</t>
        </is>
      </c>
    </row>
    <row r="650">
      <c r="A650" s="0" t="n">
        <v>645</v>
      </c>
      <c r="B650" s="6" t="inlineStr">
        <is>
          <t>Unknown</t>
        </is>
      </c>
      <c r="C650" s="6" t="inlineStr">
        <is>
          <t>Unknown packaged melon pieces</t>
        </is>
      </c>
      <c r="D650" s="0" t="n">
        <v>31.9</v>
      </c>
      <c r="E650" s="7" t="inlineStr">
        <is>
          <t>Fresh Food</t>
        </is>
      </c>
      <c r="F650" s="7" t="n"/>
      <c r="G650" s="0" t="inlineStr">
        <is>
          <t>Unknown</t>
        </is>
      </c>
      <c r="H650" s="0" t="n"/>
      <c r="I650" s="7">
        <f>IF(H650="","",VALUE(LEFT(H650,FIND("/",H650)-1))/VALUE(MID(H650,FIND("/",H650)+1,99)))</f>
        <v/>
      </c>
      <c r="J650" s="0" t="inlineStr">
        <is>
          <t>Upper-left; labels unreadable.</t>
        </is>
      </c>
      <c r="K650" s="0" t="str"/>
      <c r="L650" s="0" t="inlineStr">
        <is>
          <t>IMG_7091.HEIC</t>
        </is>
      </c>
    </row>
    <row r="651">
      <c r="A651" s="0" t="n">
        <v>646</v>
      </c>
      <c r="B651" s="6" t="inlineStr">
        <is>
          <t>Calypso</t>
        </is>
      </c>
      <c r="C651" s="6" t="inlineStr">
        <is>
          <t>Calypso Jumbo Blueberries</t>
        </is>
      </c>
      <c r="D651" s="0" t="n">
        <v>26</v>
      </c>
      <c r="E651" s="7" t="inlineStr">
        <is>
          <t>Fresh Food</t>
        </is>
      </c>
      <c r="F651" s="7" t="n"/>
      <c r="G651" s="0" t="inlineStr">
        <is>
          <t>200G</t>
        </is>
      </c>
      <c r="H651" s="0" t="n"/>
      <c r="I651" s="7">
        <f>IF(H651="","",VALUE(LEFT(H651,FIND("/",H651)-1))/VALUE(MID(H651,FIND("/",H651)+1,99)))</f>
        <v/>
      </c>
      <c r="J651" s="0" t="inlineStr">
        <is>
          <t>Brand, product and 200g visible.</t>
        </is>
      </c>
      <c r="K651" s="0" t="inlineStr">
        <is>
          <t>https://www.calypso.com.au/</t>
        </is>
      </c>
      <c r="L651" s="0" t="inlineStr">
        <is>
          <t>IMG_7091.HEIC</t>
        </is>
      </c>
    </row>
    <row r="652">
      <c r="A652" s="0" t="n">
        <v>647</v>
      </c>
      <c r="B652" s="6" t="inlineStr">
        <is>
          <t>CORE</t>
        </is>
      </c>
      <c r="C652" s="6" t="inlineStr">
        <is>
          <t>CORE Jumbo Blueberries</t>
        </is>
      </c>
      <c r="D652" s="0" t="n">
        <v>22</v>
      </c>
      <c r="E652" s="7" t="inlineStr">
        <is>
          <t>Fresh Food</t>
        </is>
      </c>
      <c r="F652" s="7" t="n"/>
      <c r="G652" s="0" t="inlineStr">
        <is>
          <t>Unknown</t>
        </is>
      </c>
      <c r="H652" s="0" t="n"/>
      <c r="I652" s="7">
        <f>IF(H652="","",VALUE(LEFT(H652,FIND("/",H652)-1))/VALUE(MID(H652,FIND("/",H652)+1,99)))</f>
        <v/>
      </c>
      <c r="J652" s="0" t="inlineStr">
        <is>
          <t>Brand/product visible; weight unreadable; discount marking shown.</t>
        </is>
      </c>
      <c r="K652" s="0" t="inlineStr">
        <is>
          <t>https://www.coreberries.com/</t>
        </is>
      </c>
      <c r="L652" s="0" t="inlineStr">
        <is>
          <t>IMG_7091.HEIC</t>
        </is>
      </c>
    </row>
    <row r="653">
      <c r="A653" s="0" t="n">
        <v>648</v>
      </c>
      <c r="B653" s="6" t="inlineStr">
        <is>
          <t>Unknown</t>
        </is>
      </c>
      <c r="C653" s="6" t="inlineStr">
        <is>
          <t>Unknown packaged red-flesh kiwifruit</t>
        </is>
      </c>
      <c r="D653" s="0" t="n">
        <v>22</v>
      </c>
      <c r="E653" s="7" t="inlineStr">
        <is>
          <t>Fresh Food</t>
        </is>
      </c>
      <c r="F653" s="7" t="n"/>
      <c r="G653" s="0" t="inlineStr">
        <is>
          <t>Unknown</t>
        </is>
      </c>
      <c r="H653" s="0" t="n"/>
      <c r="I653" s="7">
        <f>IF(H653="","",VALUE(LEFT(H653,FIND("/",H653)-1))/VALUE(MID(H653,FIND("/",H653)+1,99)))</f>
        <v/>
      </c>
      <c r="J653" s="0" t="inlineStr">
        <is>
          <t>Red Kiwi wording is descriptive rather than a verified brand; weight unreadable.</t>
        </is>
      </c>
      <c r="K653" s="0" t="str"/>
      <c r="L653" s="0" t="inlineStr">
        <is>
          <t>IMG_7091.HEIC</t>
        </is>
      </c>
    </row>
    <row r="654">
      <c r="A654" s="0" t="n">
        <v>649</v>
      </c>
      <c r="B654" s="6" t="inlineStr">
        <is>
          <t>Unknown</t>
        </is>
      </c>
      <c r="C654" s="6" t="inlineStr">
        <is>
          <t>Unknown brown round fruit pack</t>
        </is>
      </c>
      <c r="D654" s="0" t="n">
        <v>25.9</v>
      </c>
      <c r="E654" s="7" t="inlineStr">
        <is>
          <t>Fresh Food</t>
        </is>
      </c>
      <c r="F654" s="7" t="n"/>
      <c r="G654" s="0" t="inlineStr">
        <is>
          <t>Unknown</t>
        </is>
      </c>
      <c r="H654" s="0" t="n"/>
      <c r="I654" s="7">
        <f>IF(H654="","",VALUE(LEFT(H654,FIND("/",H654)-1))/VALUE(MID(H654,FIND("/",H654)+1,99)))</f>
        <v/>
      </c>
      <c r="J654" s="0" t="inlineStr">
        <is>
          <t>Likely kiwiberries; label unreadable.</t>
        </is>
      </c>
      <c r="K654" s="0" t="str"/>
      <c r="L654" s="0" t="inlineStr">
        <is>
          <t>IMG_7091.HEIC</t>
        </is>
      </c>
    </row>
    <row r="655">
      <c r="A655" s="0" t="n">
        <v>650</v>
      </c>
      <c r="B655" s="6" t="inlineStr">
        <is>
          <t>Unknown</t>
        </is>
      </c>
      <c r="C655" s="6" t="inlineStr">
        <is>
          <t>Unknown chilled salmon pack</t>
        </is>
      </c>
      <c r="D655" s="0" t="n">
        <v>19.9</v>
      </c>
      <c r="E655" s="7" t="inlineStr">
        <is>
          <t>Fresh Food</t>
        </is>
      </c>
      <c r="F655" s="7" t="n"/>
      <c r="G655" s="0" t="inlineStr">
        <is>
          <t>Unknown</t>
        </is>
      </c>
      <c r="H655" s="0" t="n"/>
      <c r="I655" s="7">
        <f>IF(H655="","",VALUE(LEFT(H655,FIND("/",H655)-1))/VALUE(MID(H655,FIND("/",H655)+1,99)))</f>
        <v/>
      </c>
      <c r="J655" s="0" t="inlineStr">
        <is>
          <t>Exact product/weight unreadable.</t>
        </is>
      </c>
      <c r="K655" s="0" t="str"/>
      <c r="L655" s="0" t="inlineStr">
        <is>
          <t>IMG_7091.HEIC</t>
        </is>
      </c>
    </row>
    <row r="656">
      <c r="A656" s="0" t="n">
        <v>651</v>
      </c>
      <c r="B656" s="6" t="inlineStr">
        <is>
          <t>Unknown</t>
        </is>
      </c>
      <c r="C656" s="6" t="inlineStr">
        <is>
          <t>Unknown yellow-netted fruit pack</t>
        </is>
      </c>
      <c r="D656" s="0" t="n">
        <v>32.9</v>
      </c>
      <c r="E656" s="7" t="inlineStr">
        <is>
          <t>Fresh Food</t>
        </is>
      </c>
      <c r="F656" s="7" t="n"/>
      <c r="G656" s="0" t="inlineStr">
        <is>
          <t>Unknown</t>
        </is>
      </c>
      <c r="H656" s="0" t="n"/>
      <c r="I656" s="7">
        <f>IF(H656="","",VALUE(LEFT(H656,FIND("/",H656)-1))/VALUE(MID(H656,FIND("/",H656)+1,99)))</f>
        <v/>
      </c>
      <c r="J656" s="0" t="inlineStr">
        <is>
          <t>Lower shelf; variety/weight unreadable.</t>
        </is>
      </c>
      <c r="K656" s="0" t="str"/>
      <c r="L656" s="0" t="inlineStr">
        <is>
          <t>IMG_7091.HEIC</t>
        </is>
      </c>
    </row>
    <row r="657">
      <c r="A657" s="0" t="n">
        <v>652</v>
      </c>
      <c r="B657" s="6" t="inlineStr">
        <is>
          <t>CORE</t>
        </is>
      </c>
      <c r="C657" s="6" t="inlineStr">
        <is>
          <t>CORE Jumbo Blueberries</t>
        </is>
      </c>
      <c r="D657" s="0" t="n">
        <v>32</v>
      </c>
      <c r="E657" s="7" t="inlineStr">
        <is>
          <t>Fresh Food</t>
        </is>
      </c>
      <c r="F657" s="7" t="n"/>
      <c r="G657" s="0" t="inlineStr">
        <is>
          <t>Unknown</t>
        </is>
      </c>
      <c r="H657" s="0" t="inlineStr">
        <is>
          <t>32/2</t>
        </is>
      </c>
      <c r="I657" s="7">
        <f>IF(H657="","",VALUE(LEFT(H657,FIND("/",H657)-1))/VALUE(MID(H657,FIND("/",H657)+1,99)))</f>
        <v/>
      </c>
      <c r="J657" s="0" t="inlineStr">
        <is>
          <t>Shelf label shows promotional 32/2; weight unreadable.</t>
        </is>
      </c>
      <c r="K657" s="0" t="inlineStr">
        <is>
          <t>https://www.coreberries.com/</t>
        </is>
      </c>
      <c r="L657" s="0" t="inlineStr">
        <is>
          <t>IMG_7092.HEIC</t>
        </is>
      </c>
    </row>
    <row r="658">
      <c r="A658" s="0" t="n">
        <v>653</v>
      </c>
      <c r="B658" s="6" t="inlineStr">
        <is>
          <t>Unknown</t>
        </is>
      </c>
      <c r="C658" s="6" t="inlineStr">
        <is>
          <t>Unknown green/purple packaged grapes</t>
        </is>
      </c>
      <c r="D658" s="0" t="n">
        <v>25</v>
      </c>
      <c r="E658" s="7" t="inlineStr">
        <is>
          <t>Fresh Food</t>
        </is>
      </c>
      <c r="F658" s="7" t="n"/>
      <c r="G658" s="0" t="inlineStr">
        <is>
          <t>Unknown</t>
        </is>
      </c>
      <c r="H658" s="0" t="n"/>
      <c r="I658" s="7">
        <f>IF(H658="","",VALUE(LEFT(H658,FIND("/",H658)-1))/VALUE(MID(H658,FIND("/",H658)+1,99)))</f>
        <v/>
      </c>
      <c r="J658" s="0" t="inlineStr">
        <is>
          <t>Decorative grape carton; exact variety/weight unreadable.</t>
        </is>
      </c>
      <c r="K658" s="0" t="str"/>
      <c r="L658" s="0" t="inlineStr">
        <is>
          <t>IMG_7092.HEIC</t>
        </is>
      </c>
    </row>
    <row r="659">
      <c r="A659" s="0" t="n">
        <v>654</v>
      </c>
      <c r="B659" s="6" t="inlineStr">
        <is>
          <t>Unknown</t>
        </is>
      </c>
      <c r="C659" s="6" t="inlineStr">
        <is>
          <t>Unknown Golden peaches</t>
        </is>
      </c>
      <c r="D659" s="0" t="n">
        <v>22.9</v>
      </c>
      <c r="E659" s="7" t="inlineStr">
        <is>
          <t>Fresh Food</t>
        </is>
      </c>
      <c r="F659" s="7" t="n"/>
      <c r="G659" s="0" t="inlineStr">
        <is>
          <t>Unknown</t>
        </is>
      </c>
      <c r="H659" s="0" t="n"/>
      <c r="I659" s="7">
        <f>IF(H659="","",VALUE(LEFT(H659,FIND("/",H659)-1))/VALUE(MID(H659,FIND("/",H659)+1,99)))</f>
        <v/>
      </c>
      <c r="J659" s="0" t="inlineStr">
        <is>
          <t>Chinese product label visible; exact variety/weight unreadable.</t>
        </is>
      </c>
      <c r="K659" s="0" t="str"/>
      <c r="L659" s="0" t="inlineStr">
        <is>
          <t>IMG_7092.HEIC</t>
        </is>
      </c>
    </row>
    <row r="660">
      <c r="A660" s="0" t="n">
        <v>655</v>
      </c>
      <c r="B660" s="6" t="inlineStr">
        <is>
          <t>Unknown</t>
        </is>
      </c>
      <c r="C660" s="6" t="inlineStr">
        <is>
          <t>Unknown peach pack, second variant</t>
        </is>
      </c>
      <c r="D660" s="0" t="n">
        <v>22.9</v>
      </c>
      <c r="E660" s="7" t="inlineStr">
        <is>
          <t>Fresh Food</t>
        </is>
      </c>
      <c r="F660" s="7" t="n"/>
      <c r="G660" s="0" t="inlineStr">
        <is>
          <t>Unknown</t>
        </is>
      </c>
      <c r="H660" s="0" t="n"/>
      <c r="I660" s="7">
        <f>IF(H660="","",VALUE(LEFT(H660,FIND("/",H660)-1))/VALUE(MID(H660,FIND("/",H660)+1,99)))</f>
        <v/>
      </c>
      <c r="J660" s="0" t="inlineStr">
        <is>
          <t>Distinct package/label; exact variety/weight unreadable.</t>
        </is>
      </c>
      <c r="K660" s="0" t="str"/>
      <c r="L660" s="0" t="inlineStr">
        <is>
          <t>IMG_7092.HEIC</t>
        </is>
      </c>
    </row>
    <row r="661">
      <c r="A661" s="0" t="n">
        <v>656</v>
      </c>
      <c r="B661" s="6" t="inlineStr">
        <is>
          <t>Unknown</t>
        </is>
      </c>
      <c r="C661" s="6" t="inlineStr">
        <is>
          <t>Unknown small green/brown fruit pack</t>
        </is>
      </c>
      <c r="D661" s="0" t="n"/>
      <c r="E661" s="7" t="inlineStr">
        <is>
          <t>Fresh Food</t>
        </is>
      </c>
      <c r="F661" s="7" t="n"/>
      <c r="G661" s="0" t="inlineStr">
        <is>
          <t>Unknown</t>
        </is>
      </c>
      <c r="H661" s="0" t="n"/>
      <c r="I661" s="7">
        <f>IF(H661="","",VALUE(LEFT(H661,FIND("/",H661)-1))/VALUE(MID(H661,FIND("/",H661)+1,99)))</f>
        <v/>
      </c>
      <c r="J661" s="0" t="inlineStr">
        <is>
          <t>Likely kiwifruit; price and label obscured.</t>
        </is>
      </c>
      <c r="K661" s="0" t="str"/>
      <c r="L661" s="0" t="inlineStr">
        <is>
          <t>IMG_7092.HEIC</t>
        </is>
      </c>
    </row>
    <row r="662">
      <c r="A662" s="0" t="n">
        <v>657</v>
      </c>
      <c r="B662" s="6" t="inlineStr">
        <is>
          <t>Unknown</t>
        </is>
      </c>
      <c r="C662" s="6" t="inlineStr">
        <is>
          <t>Unknown packaged mini watermelon/melon</t>
        </is>
      </c>
      <c r="D662" s="0" t="n"/>
      <c r="E662" s="7" t="inlineStr">
        <is>
          <t>Fresh Food</t>
        </is>
      </c>
      <c r="F662" s="7" t="n"/>
      <c r="G662" s="0" t="inlineStr">
        <is>
          <t>Unknown</t>
        </is>
      </c>
      <c r="H662" s="0" t="n"/>
      <c r="I662" s="7">
        <f>IF(H662="","",VALUE(LEFT(H662,FIND("/",H662)-1))/VALUE(MID(H662,FIND("/",H662)+1,99)))</f>
        <v/>
      </c>
      <c r="J662" s="0" t="inlineStr">
        <is>
          <t>Bottom edge; price and label obscured.</t>
        </is>
      </c>
      <c r="K662" s="0" t="str"/>
      <c r="L662" s="0" t="inlineStr">
        <is>
          <t>IMG_7092.HEIC</t>
        </is>
      </c>
    </row>
    <row r="663">
      <c r="A663" s="0" t="n">
        <v>658</v>
      </c>
      <c r="B663" s="6" t="inlineStr">
        <is>
          <t>Unknown</t>
        </is>
      </c>
      <c r="C663" s="6" t="inlineStr">
        <is>
          <t>Unknown netted citrus pack</t>
        </is>
      </c>
      <c r="D663" s="0" t="n">
        <v>20</v>
      </c>
      <c r="E663" s="7" t="inlineStr">
        <is>
          <t>Fresh Food</t>
        </is>
      </c>
      <c r="F663" s="7" t="n"/>
      <c r="G663" s="0" t="inlineStr">
        <is>
          <t>Unknown</t>
        </is>
      </c>
      <c r="H663" s="0" t="n"/>
      <c r="I663" s="7">
        <f>IF(H663="","",VALUE(LEFT(H663,FIND("/",H663)-1))/VALUE(MID(H663,FIND("/",H663)+1,99)))</f>
        <v/>
      </c>
      <c r="J663" s="0" t="inlineStr">
        <is>
          <t>Front upper-left promotional pack; exact variety/weight unreadable.</t>
        </is>
      </c>
      <c r="K663" s="0" t="str"/>
      <c r="L663" s="0" t="inlineStr">
        <is>
          <t>IMG_7093.HEIC</t>
        </is>
      </c>
    </row>
    <row r="664">
      <c r="A664" s="0" t="n">
        <v>659</v>
      </c>
      <c r="B664" s="6" t="inlineStr">
        <is>
          <t>Unknown</t>
        </is>
      </c>
      <c r="C664" s="6" t="inlineStr">
        <is>
          <t>Unknown netted citrus pack</t>
        </is>
      </c>
      <c r="D664" s="0" t="n">
        <v>24</v>
      </c>
      <c r="E664" s="7" t="inlineStr">
        <is>
          <t>Fresh Food</t>
        </is>
      </c>
      <c r="F664" s="7" t="n"/>
      <c r="G664" s="0" t="inlineStr">
        <is>
          <t>Unknown</t>
        </is>
      </c>
      <c r="H664" s="0" t="n"/>
      <c r="I664" s="7">
        <f>IF(H664="","",VALUE(LEFT(H664,FIND("/",H664)-1))/VALUE(MID(H664,FIND("/",H664)+1,99)))</f>
        <v/>
      </c>
      <c r="J664" s="0" t="inlineStr">
        <is>
          <t>Front upper-right promotional pack; exact variety/weight unreadable.</t>
        </is>
      </c>
      <c r="K664" s="0" t="str"/>
      <c r="L664" s="0" t="inlineStr">
        <is>
          <t>IMG_7093.HEIC</t>
        </is>
      </c>
    </row>
    <row r="665">
      <c r="A665" s="0" t="n">
        <v>660</v>
      </c>
      <c r="B665" s="6" t="inlineStr">
        <is>
          <t>Unknown</t>
        </is>
      </c>
      <c r="C665" s="6" t="inlineStr">
        <is>
          <t>Unknown netted citrus pack</t>
        </is>
      </c>
      <c r="D665" s="0" t="n"/>
      <c r="E665" s="7" t="inlineStr">
        <is>
          <t>Fresh Food</t>
        </is>
      </c>
      <c r="F665" s="7" t="n"/>
      <c r="G665" s="0" t="inlineStr">
        <is>
          <t>Unknown</t>
        </is>
      </c>
      <c r="H665" s="0" t="n"/>
      <c r="I665" s="7">
        <f>IF(H665="","",VALUE(LEFT(H665,FIND("/",H665)-1))/VALUE(MID(H665,FIND("/",H665)+1,99)))</f>
        <v/>
      </c>
      <c r="J665" s="0" t="inlineStr">
        <is>
          <t>Select tag may be store/grade labeling, not a verified brand; variety, price and weight unreadable.</t>
        </is>
      </c>
      <c r="K665" s="0" t="str"/>
      <c r="L665" s="0" t="inlineStr">
        <is>
          <t>IMG_7093.HEIC</t>
        </is>
      </c>
    </row>
    <row r="666">
      <c r="A666" s="0" t="n">
        <v>661</v>
      </c>
      <c r="B666" s="6" t="inlineStr">
        <is>
          <t>Unknown</t>
        </is>
      </c>
      <c r="C666" s="6" t="inlineStr">
        <is>
          <t>Unknown netted citrus pack, second variant</t>
        </is>
      </c>
      <c r="D666" s="0" t="n"/>
      <c r="E666" s="7" t="inlineStr">
        <is>
          <t>Fresh Food</t>
        </is>
      </c>
      <c r="F666" s="7" t="n"/>
      <c r="G666" s="0" t="inlineStr">
        <is>
          <t>Unknown</t>
        </is>
      </c>
      <c r="H666" s="0" t="n"/>
      <c r="I666" s="7">
        <f>IF(H666="","",VALUE(LEFT(H666,FIND("/",H666)-1))/VALUE(MID(H666,FIND("/",H666)+1,99)))</f>
        <v/>
      </c>
      <c r="J666" s="0" t="inlineStr">
        <is>
          <t>Select tag may be store/grade labeling, not a verified brand; variety, price and weight unreadable.</t>
        </is>
      </c>
      <c r="K666" s="0" t="str"/>
      <c r="L666" s="0" t="inlineStr">
        <is>
          <t>IMG_7093.HEIC</t>
        </is>
      </c>
    </row>
    <row r="667">
      <c r="A667" s="0" t="n">
        <v>662</v>
      </c>
      <c r="B667" s="6" t="inlineStr">
        <is>
          <t>Unknown</t>
        </is>
      </c>
      <c r="C667" s="6" t="inlineStr">
        <is>
          <t>Unknown packaged oranges</t>
        </is>
      </c>
      <c r="D667" s="0" t="n"/>
      <c r="E667" s="7" t="inlineStr">
        <is>
          <t>Fresh Food</t>
        </is>
      </c>
      <c r="F667" s="7" t="n"/>
      <c r="G667" s="0" t="inlineStr">
        <is>
          <t>Unknown</t>
        </is>
      </c>
      <c r="H667" s="0" t="n"/>
      <c r="I667" s="7">
        <f>IF(H667="","",VALUE(LEFT(H667,FIND("/",H667)-1))/VALUE(MID(H667,FIND("/",H667)+1,99)))</f>
        <v/>
      </c>
      <c r="J667" s="0" t="inlineStr">
        <is>
          <t>Blue bag at right; product text partly visible but unreadable.</t>
        </is>
      </c>
      <c r="K667" s="0" t="str"/>
      <c r="L667" s="0" t="inlineStr">
        <is>
          <t>IMG_7093.HEIC</t>
        </is>
      </c>
    </row>
    <row r="668">
      <c r="A668" s="0" t="n">
        <v>663</v>
      </c>
      <c r="B668" s="6" t="inlineStr">
        <is>
          <t>Unknown</t>
        </is>
      </c>
      <c r="C668" s="6" t="inlineStr">
        <is>
          <t>Unknown chilled tofu/bean curd pack</t>
        </is>
      </c>
      <c r="D668" s="0" t="n">
        <v>10</v>
      </c>
      <c r="E668" s="7" t="inlineStr">
        <is>
          <t>Fresh Food</t>
        </is>
      </c>
      <c r="F668" s="7" t="n"/>
      <c r="G668" s="0" t="inlineStr">
        <is>
          <t>Unknown</t>
        </is>
      </c>
      <c r="H668" s="0" t="n"/>
      <c r="I668" s="7">
        <f>IF(H668="","",VALUE(LEFT(H668,FIND("/",H668)-1))/VALUE(MID(H668,FIND("/",H668)+1,99)))</f>
        <v/>
      </c>
      <c r="J668" s="0" t="inlineStr">
        <is>
          <t>Top-left; label and weight unreadable.</t>
        </is>
      </c>
      <c r="K668" s="0" t="str"/>
      <c r="L668" s="0" t="inlineStr">
        <is>
          <t>IMG_7094.HEIC</t>
        </is>
      </c>
    </row>
    <row r="669">
      <c r="A669" s="0" t="n">
        <v>664</v>
      </c>
      <c r="B669" s="6" t="inlineStr">
        <is>
          <t>Unknown</t>
        </is>
      </c>
      <c r="C669" s="6" t="inlineStr">
        <is>
          <t>Unknown yellow tofu/bean curd pack</t>
        </is>
      </c>
      <c r="D669" s="0" t="n">
        <v>10</v>
      </c>
      <c r="E669" s="7" t="inlineStr">
        <is>
          <t>Fresh Food</t>
        </is>
      </c>
      <c r="F669" s="7" t="n"/>
      <c r="G669" s="0" t="inlineStr">
        <is>
          <t>Unknown</t>
        </is>
      </c>
      <c r="H669" s="0" t="n"/>
      <c r="I669" s="7">
        <f>IF(H669="","",VALUE(LEFT(H669,FIND("/",H669)-1))/VALUE(MID(H669,FIND("/",H669)+1,99)))</f>
        <v/>
      </c>
      <c r="J669" s="0" t="inlineStr">
        <is>
          <t>Top-center; label and weight unreadable.</t>
        </is>
      </c>
      <c r="K669" s="0" t="str"/>
      <c r="L669" s="0" t="inlineStr">
        <is>
          <t>IMG_7094.HEIC</t>
        </is>
      </c>
    </row>
    <row r="670">
      <c r="A670" s="0" t="n">
        <v>665</v>
      </c>
      <c r="B670" s="6" t="inlineStr">
        <is>
          <t>Unknown</t>
        </is>
      </c>
      <c r="C670" s="6" t="inlineStr">
        <is>
          <t>Unknown kimchi jar/tub</t>
        </is>
      </c>
      <c r="D670" s="0" t="n">
        <v>56</v>
      </c>
      <c r="E670" s="7" t="inlineStr">
        <is>
          <t>Fresh Food</t>
        </is>
      </c>
      <c r="F670" s="7" t="n"/>
      <c r="G670" s="0" t="inlineStr">
        <is>
          <t>Unknown</t>
        </is>
      </c>
      <c r="H670" s="0" t="inlineStr">
        <is>
          <t>56/2</t>
        </is>
      </c>
      <c r="I670" s="7">
        <f>IF(H670="","",VALUE(LEFT(H670,FIND("/",H670)-1))/VALUE(MID(H670,FIND("/",H670)+1,99)))</f>
        <v/>
      </c>
      <c r="J670" s="0" t="inlineStr">
        <is>
          <t>Red Korean kimchi packaging; exact brand/size unreadable; promotion visible.</t>
        </is>
      </c>
      <c r="K670" s="0" t="str"/>
      <c r="L670" s="0" t="inlineStr">
        <is>
          <t>IMG_7094.HEIC</t>
        </is>
      </c>
    </row>
    <row r="671">
      <c r="A671" s="0" t="n">
        <v>666</v>
      </c>
      <c r="B671" s="6" t="inlineStr">
        <is>
          <t>Unknown</t>
        </is>
      </c>
      <c r="C671" s="6" t="inlineStr">
        <is>
          <t>Unknown pink egg carton</t>
        </is>
      </c>
      <c r="D671" s="0" t="n"/>
      <c r="E671" s="7" t="inlineStr">
        <is>
          <t>Fresh Food</t>
        </is>
      </c>
      <c r="F671" s="7" t="n"/>
      <c r="G671" s="0" t="inlineStr">
        <is>
          <t>Unknown</t>
        </is>
      </c>
      <c r="H671" s="0" t="n"/>
      <c r="I671" s="7">
        <f>IF(H671="","",VALUE(LEFT(H671,FIND("/",H671)-1))/VALUE(MID(H671,FIND("/",H671)+1,99)))</f>
        <v/>
      </c>
      <c r="J671" s="0" t="inlineStr">
        <is>
          <t>Brand, count and price unreadable.</t>
        </is>
      </c>
      <c r="K671" s="0" t="str"/>
      <c r="L671" s="0" t="inlineStr">
        <is>
          <t>IMG_7094.HEIC</t>
        </is>
      </c>
    </row>
    <row r="672">
      <c r="A672" s="0" t="n">
        <v>667</v>
      </c>
      <c r="B672" s="6" t="inlineStr">
        <is>
          <t>Unknown</t>
        </is>
      </c>
      <c r="C672" s="6" t="inlineStr">
        <is>
          <t>Unknown white egg carton</t>
        </is>
      </c>
      <c r="D672" s="0" t="n">
        <v>30</v>
      </c>
      <c r="E672" s="7" t="inlineStr">
        <is>
          <t>Fresh Food</t>
        </is>
      </c>
      <c r="F672" s="7" t="n"/>
      <c r="G672" s="0" t="inlineStr">
        <is>
          <t>Unknown</t>
        </is>
      </c>
      <c r="H672" s="0" t="n"/>
      <c r="I672" s="7">
        <f>IF(H672="","",VALUE(LEFT(H672,FIND("/",H672)-1))/VALUE(MID(H672,FIND("/",H672)+1,99)))</f>
        <v/>
      </c>
      <c r="J672" s="0" t="inlineStr">
        <is>
          <t>Brand/count unreadable; shelf label shows 30.</t>
        </is>
      </c>
      <c r="K672" s="0" t="str"/>
      <c r="L672" s="0" t="inlineStr">
        <is>
          <t>IMG_7094.HEIC</t>
        </is>
      </c>
    </row>
    <row r="673">
      <c r="A673" s="0" t="n">
        <v>668</v>
      </c>
      <c r="B673" s="6" t="inlineStr">
        <is>
          <t>Unknown</t>
        </is>
      </c>
      <c r="C673" s="6" t="inlineStr">
        <is>
          <t>Unknown brown egg carton</t>
        </is>
      </c>
      <c r="D673" s="0" t="n">
        <v>23</v>
      </c>
      <c r="E673" s="7" t="inlineStr">
        <is>
          <t>Fresh Food</t>
        </is>
      </c>
      <c r="F673" s="7" t="n"/>
      <c r="G673" s="0" t="inlineStr">
        <is>
          <t>Unknown</t>
        </is>
      </c>
      <c r="H673" s="0" t="n"/>
      <c r="I673" s="7">
        <f>IF(H673="","",VALUE(LEFT(H673,FIND("/",H673)-1))/VALUE(MID(H673,FIND("/",H673)+1,99)))</f>
        <v/>
      </c>
      <c r="J673" s="0" t="inlineStr">
        <is>
          <t>Brand/count unreadable.</t>
        </is>
      </c>
      <c r="K673" s="0" t="str"/>
      <c r="L673" s="0" t="inlineStr">
        <is>
          <t>IMG_7094.HEIC</t>
        </is>
      </c>
    </row>
    <row r="674">
      <c r="A674" s="0" t="n">
        <v>669</v>
      </c>
      <c r="B674" s="6" t="inlineStr">
        <is>
          <t>Unknown</t>
        </is>
      </c>
      <c r="C674" s="6" t="inlineStr">
        <is>
          <t>Unknown cage-free egg carton</t>
        </is>
      </c>
      <c r="D674" s="0" t="n">
        <v>23</v>
      </c>
      <c r="E674" s="7" t="inlineStr">
        <is>
          <t>Fresh Food</t>
        </is>
      </c>
      <c r="F674" s="7" t="n"/>
      <c r="G674" s="0" t="inlineStr">
        <is>
          <t>Unknown</t>
        </is>
      </c>
      <c r="H674" s="0" t="n"/>
      <c r="I674" s="7">
        <f>IF(H674="","",VALUE(LEFT(H674,FIND("/",H674)-1))/VALUE(MID(H674,FIND("/",H674)+1,99)))</f>
        <v/>
      </c>
      <c r="J674" s="0" t="inlineStr">
        <is>
          <t>Cage-free text visible; brand/count unreadable.</t>
        </is>
      </c>
      <c r="K674" s="0" t="str"/>
      <c r="L674" s="0" t="inlineStr">
        <is>
          <t>IMG_7094.HEIC</t>
        </is>
      </c>
    </row>
    <row r="675">
      <c r="A675" s="0" t="n">
        <v>670</v>
      </c>
      <c r="B675" s="6" t="inlineStr">
        <is>
          <t>Unknown</t>
        </is>
      </c>
      <c r="C675" s="6" t="inlineStr">
        <is>
          <t>Unknown brown egg carton</t>
        </is>
      </c>
      <c r="D675" s="0" t="n">
        <v>32</v>
      </c>
      <c r="E675" s="7" t="inlineStr">
        <is>
          <t>Fresh Food</t>
        </is>
      </c>
      <c r="F675" s="7" t="n"/>
      <c r="G675" s="0" t="inlineStr">
        <is>
          <t>Unknown</t>
        </is>
      </c>
      <c r="H675" s="0" t="n"/>
      <c r="I675" s="7">
        <f>IF(H675="","",VALUE(LEFT(H675,FIND("/",H675)-1))/VALUE(MID(H675,FIND("/",H675)+1,99)))</f>
        <v/>
      </c>
      <c r="J675" s="0" t="inlineStr">
        <is>
          <t>Brand/count unreadable.</t>
        </is>
      </c>
      <c r="K675" s="0" t="str"/>
      <c r="L675" s="0" t="inlineStr">
        <is>
          <t>IMG_7094.HEIC</t>
        </is>
      </c>
    </row>
    <row r="676">
      <c r="A676" s="0" t="n">
        <v>671</v>
      </c>
      <c r="B676" s="6" t="inlineStr">
        <is>
          <t>Unknown</t>
        </is>
      </c>
      <c r="C676" s="6" t="inlineStr">
        <is>
          <t>Unknown white egg carton</t>
        </is>
      </c>
      <c r="D676" s="0" t="n">
        <v>29</v>
      </c>
      <c r="E676" s="7" t="inlineStr">
        <is>
          <t>Fresh Food</t>
        </is>
      </c>
      <c r="F676" s="7" t="n"/>
      <c r="G676" s="0" t="inlineStr">
        <is>
          <t>Unknown</t>
        </is>
      </c>
      <c r="H676" s="0" t="n"/>
      <c r="I676" s="7">
        <f>IF(H676="","",VALUE(LEFT(H676,FIND("/",H676)-1))/VALUE(MID(H676,FIND("/",H676)+1,99)))</f>
        <v/>
      </c>
      <c r="J676" s="0" t="inlineStr">
        <is>
          <t>Chinese label; brand/count unreadable.</t>
        </is>
      </c>
      <c r="K676" s="0" t="str"/>
      <c r="L676" s="0" t="inlineStr">
        <is>
          <t>IMG_7094.HEIC</t>
        </is>
      </c>
    </row>
    <row r="677">
      <c r="A677" s="0" t="n">
        <v>672</v>
      </c>
      <c r="B677" s="6" t="inlineStr">
        <is>
          <t>Unknown</t>
        </is>
      </c>
      <c r="C677" s="6" t="inlineStr">
        <is>
          <t>Unknown specialty egg/chilled egg pack</t>
        </is>
      </c>
      <c r="D677" s="0" t="n"/>
      <c r="E677" s="7" t="inlineStr">
        <is>
          <t>Fresh Food</t>
        </is>
      </c>
      <c r="F677" s="7" t="n"/>
      <c r="G677" s="0" t="inlineStr">
        <is>
          <t>Unknown</t>
        </is>
      </c>
      <c r="H677" s="0" t="n"/>
      <c r="I677" s="7">
        <f>IF(H677="","",VALUE(LEFT(H677,FIND("/",H677)-1))/VALUE(MID(H677,FIND("/",H677)+1,99)))</f>
        <v/>
      </c>
      <c r="J677" s="0" t="inlineStr">
        <is>
          <t>Bottom-right; exact product and price obscured.</t>
        </is>
      </c>
      <c r="K677" s="0" t="str"/>
      <c r="L677" s="0" t="inlineStr">
        <is>
          <t>IMG_7094.HEIC</t>
        </is>
      </c>
    </row>
    <row r="678">
      <c r="A678" s="0" t="n">
        <v>673</v>
      </c>
      <c r="B678" s="6" t="inlineStr">
        <is>
          <t>Unknown</t>
        </is>
      </c>
      <c r="C678" s="6" t="inlineStr">
        <is>
          <t>Unknown kimchi jar/tub</t>
        </is>
      </c>
      <c r="D678" s="0" t="n">
        <v>56</v>
      </c>
      <c r="E678" s="7" t="inlineStr">
        <is>
          <t>Fresh Food</t>
        </is>
      </c>
      <c r="F678" s="7" t="n"/>
      <c r="G678" s="0" t="inlineStr">
        <is>
          <t>Unknown</t>
        </is>
      </c>
      <c r="H678" s="0" t="inlineStr">
        <is>
          <t>56/2</t>
        </is>
      </c>
      <c r="I678" s="7">
        <f>IF(H678="","",VALUE(LEFT(H678,FIND("/",H678)-1))/VALUE(MID(H678,FIND("/",H678)+1,99)))</f>
        <v/>
      </c>
      <c r="J678" s="0" t="inlineStr">
        <is>
          <t>Top shelf; exact brand/size unreadable; promotion visible.</t>
        </is>
      </c>
      <c r="K678" s="0" t="str"/>
      <c r="L678" s="0" t="inlineStr">
        <is>
          <t>IMG_7095.HEIC</t>
        </is>
      </c>
    </row>
    <row r="679">
      <c r="A679" s="0" t="n">
        <v>674</v>
      </c>
      <c r="B679" s="6" t="inlineStr">
        <is>
          <t>Unknown</t>
        </is>
      </c>
      <c r="C679" s="6" t="inlineStr">
        <is>
          <t>Unknown Chinese-labeled white egg carton</t>
        </is>
      </c>
      <c r="D679" s="0" t="n">
        <v>52</v>
      </c>
      <c r="E679" s="7" t="inlineStr">
        <is>
          <t>Fresh Food</t>
        </is>
      </c>
      <c r="F679" s="7" t="n"/>
      <c r="G679" s="0" t="inlineStr">
        <is>
          <t>Unknown</t>
        </is>
      </c>
      <c r="H679" s="0" t="inlineStr">
        <is>
          <t>52/2</t>
        </is>
      </c>
      <c r="I679" s="7">
        <f>IF(H679="","",VALUE(LEFT(H679,FIND("/",H679)-1))/VALUE(MID(H679,FIND("/",H679)+1,99)))</f>
        <v/>
      </c>
      <c r="J679" s="0" t="inlineStr">
        <is>
          <t>10 eggs visible; exact product name unreadable; promotion shown.</t>
        </is>
      </c>
      <c r="K679" s="0" t="str"/>
      <c r="L679" s="0" t="inlineStr">
        <is>
          <t>IMG_7095.HEIC</t>
        </is>
      </c>
    </row>
    <row r="680">
      <c r="A680" s="0" t="n">
        <v>675</v>
      </c>
      <c r="B680" s="6" t="inlineStr">
        <is>
          <t>Unknown</t>
        </is>
      </c>
      <c r="C680" s="6" t="inlineStr">
        <is>
          <t>Unknown white egg carton</t>
        </is>
      </c>
      <c r="D680" s="0" t="n">
        <v>30</v>
      </c>
      <c r="E680" s="7" t="inlineStr">
        <is>
          <t>Fresh Food</t>
        </is>
      </c>
      <c r="F680" s="7" t="n"/>
      <c r="G680" s="0" t="inlineStr">
        <is>
          <t>Unknown</t>
        </is>
      </c>
      <c r="H680" s="0" t="n"/>
      <c r="I680" s="7">
        <f>IF(H680="","",VALUE(LEFT(H680,FIND("/",H680)-1))/VALUE(MID(H680,FIND("/",H680)+1,99)))</f>
        <v/>
      </c>
      <c r="J680" s="0" t="inlineStr">
        <is>
          <t>Brand/count unreadable.</t>
        </is>
      </c>
      <c r="K680" s="0" t="str"/>
      <c r="L680" s="0" t="inlineStr">
        <is>
          <t>IMG_7095.HEIC</t>
        </is>
      </c>
    </row>
    <row r="681">
      <c r="A681" s="0" t="n">
        <v>676</v>
      </c>
      <c r="B681" s="6" t="inlineStr">
        <is>
          <t>Unknown</t>
        </is>
      </c>
      <c r="C681" s="6" t="inlineStr">
        <is>
          <t>Unknown cage-free fresh eggs</t>
        </is>
      </c>
      <c r="D681" s="0" t="n">
        <v>23</v>
      </c>
      <c r="E681" s="7" t="inlineStr">
        <is>
          <t>Fresh Food</t>
        </is>
      </c>
      <c r="F681" s="7" t="n"/>
      <c r="G681" s="0" t="inlineStr">
        <is>
          <t>10 eggs</t>
        </is>
      </c>
      <c r="H681" s="0" t="n"/>
      <c r="I681" s="7">
        <f>IF(H681="","",VALUE(LEFT(H681,FIND("/",H681)-1))/VALUE(MID(H681,FIND("/",H681)+1,99)))</f>
        <v/>
      </c>
      <c r="J681" s="0" t="inlineStr">
        <is>
          <t>Package visibly reads Cage Free Fresh Eggs; Select is not verified as the brand; exact source/weight unreadable.</t>
        </is>
      </c>
      <c r="K681" s="0" t="str"/>
      <c r="L681" s="0" t="inlineStr">
        <is>
          <t>IMG_7095.HEIC</t>
        </is>
      </c>
    </row>
    <row r="682">
      <c r="A682" s="0" t="n">
        <v>677</v>
      </c>
      <c r="B682" s="6" t="inlineStr">
        <is>
          <t>Unknown</t>
        </is>
      </c>
      <c r="C682" s="6" t="inlineStr">
        <is>
          <t>Unknown cage-free egg carton</t>
        </is>
      </c>
      <c r="D682" s="0" t="n"/>
      <c r="E682" s="7" t="inlineStr">
        <is>
          <t>Fresh Food</t>
        </is>
      </c>
      <c r="F682" s="7" t="n"/>
      <c r="G682" s="0" t="inlineStr">
        <is>
          <t>Unknown</t>
        </is>
      </c>
      <c r="H682" s="0" t="n"/>
      <c r="I682" s="7">
        <f>IF(H682="","",VALUE(LEFT(H682,FIND("/",H682)-1))/VALUE(MID(H682,FIND("/",H682)+1,99)))</f>
        <v/>
      </c>
      <c r="J682" s="0" t="inlineStr">
        <is>
          <t>Blue/yellow pack; exact brand/count/price unreadable.</t>
        </is>
      </c>
      <c r="K682" s="0" t="str"/>
      <c r="L682" s="0" t="inlineStr">
        <is>
          <t>IMG_7095.HEIC</t>
        </is>
      </c>
    </row>
    <row r="683">
      <c r="A683" s="0" t="n">
        <v>678</v>
      </c>
      <c r="B683" s="6" t="inlineStr">
        <is>
          <t>Unknown</t>
        </is>
      </c>
      <c r="C683" s="6" t="inlineStr">
        <is>
          <t>Unknown New Generation egg carton</t>
        </is>
      </c>
      <c r="D683" s="0" t="n">
        <v>29</v>
      </c>
      <c r="E683" s="7" t="inlineStr">
        <is>
          <t>Fresh Food</t>
        </is>
      </c>
      <c r="F683" s="7" t="n"/>
      <c r="G683" s="0" t="inlineStr">
        <is>
          <t>Unknown</t>
        </is>
      </c>
      <c r="H683" s="0" t="n"/>
      <c r="I683" s="7">
        <f>IF(H683="","",VALUE(LEFT(H683,FIND("/",H683)-1))/VALUE(MID(H683,FIND("/",H683)+1,99)))</f>
        <v/>
      </c>
      <c r="J683" s="0" t="inlineStr">
        <is>
          <t>Chinese label visibly includes New Generation; count unreadable.</t>
        </is>
      </c>
      <c r="K683" s="0" t="str"/>
      <c r="L683" s="0" t="inlineStr">
        <is>
          <t>IMG_7095.HEIC</t>
        </is>
      </c>
    </row>
    <row r="684">
      <c r="A684" s="0" t="n">
        <v>679</v>
      </c>
      <c r="B684" s="6" t="inlineStr">
        <is>
          <t>Unknown</t>
        </is>
      </c>
      <c r="C684" s="6" t="inlineStr">
        <is>
          <t>Unknown Thai fresh eggs carton</t>
        </is>
      </c>
      <c r="D684" s="0" t="n">
        <v>22</v>
      </c>
      <c r="E684" s="7" t="inlineStr">
        <is>
          <t>Fresh Food</t>
        </is>
      </c>
      <c r="F684" s="7" t="n"/>
      <c r="G684" s="0" t="inlineStr">
        <is>
          <t>Unknown</t>
        </is>
      </c>
      <c r="H684" s="0" t="n"/>
      <c r="I684" s="7">
        <f>IF(H684="","",VALUE(LEFT(H684,FIND("/",H684)-1))/VALUE(MID(H684,FIND("/",H684)+1,99)))</f>
        <v/>
      </c>
      <c r="J684" s="0" t="inlineStr">
        <is>
          <t>Thai Fresh Eggs text visible; count/brand unreadable.</t>
        </is>
      </c>
      <c r="K684" s="0" t="str"/>
      <c r="L684" s="0" t="inlineStr">
        <is>
          <t>IMG_7095.HEIC</t>
        </is>
      </c>
    </row>
    <row r="685">
      <c r="A685" s="0" t="n">
        <v>680</v>
      </c>
      <c r="B685" s="6" t="inlineStr">
        <is>
          <t>President</t>
        </is>
      </c>
      <c r="C685" s="6" t="inlineStr">
        <is>
          <t>President Whipping Cream</t>
        </is>
      </c>
      <c r="D685" s="0" t="n">
        <v>80</v>
      </c>
      <c r="E685" s="7" t="inlineStr">
        <is>
          <t>Fresh Food</t>
        </is>
      </c>
      <c r="F685" s="7" t="n"/>
      <c r="G685" s="0" t="inlineStr">
        <is>
          <t>500ML</t>
        </is>
      </c>
      <c r="H685" s="0" t="n"/>
      <c r="I685" s="7">
        <f>IF(H685="","",VALUE(LEFT(H685,FIND("/",H685)-1))/VALUE(MID(H685,FIND("/",H685)+1,99)))</f>
        <v/>
      </c>
      <c r="J685" s="0" t="inlineStr">
        <is>
          <t>Carton visibly reads Whipping Cream; exact local SKU uncertain.</t>
        </is>
      </c>
      <c r="K685" s="0" t="inlineStr">
        <is>
          <t>https://www.president.fr/en/products/cream/</t>
        </is>
      </c>
      <c r="L685" s="0" t="inlineStr">
        <is>
          <t>IMG_7096.HEIC</t>
        </is>
      </c>
    </row>
    <row r="686">
      <c r="A686" s="0" t="n">
        <v>681</v>
      </c>
      <c r="B686" s="6" t="inlineStr">
        <is>
          <t>President</t>
        </is>
      </c>
      <c r="C686" s="6" t="inlineStr">
        <is>
          <t>President Light Cream</t>
        </is>
      </c>
      <c r="D686" s="0" t="n">
        <v>62</v>
      </c>
      <c r="E686" s="7" t="inlineStr">
        <is>
          <t>Fresh Food</t>
        </is>
      </c>
      <c r="F686" s="7" t="n"/>
      <c r="G686" s="0" t="inlineStr">
        <is>
          <t>200ML</t>
        </is>
      </c>
      <c r="H686" s="0" t="n"/>
      <c r="I686" s="7">
        <f>IF(H686="","",VALUE(LEFT(H686,FIND("/",H686)-1))/VALUE(MID(H686,FIND("/",H686)+1,99)))</f>
        <v/>
      </c>
      <c r="J686" s="0" t="inlineStr">
        <is>
          <t>Light Cream text visible; exact local SKU uncertain.</t>
        </is>
      </c>
      <c r="K686" s="0" t="inlineStr">
        <is>
          <t>https://www.president.fr/en/products/cream/</t>
        </is>
      </c>
      <c r="L686" s="0" t="inlineStr">
        <is>
          <t>IMG_7096.HEIC</t>
        </is>
      </c>
    </row>
    <row r="687">
      <c r="A687" s="0" t="n">
        <v>682</v>
      </c>
      <c r="B687" s="6" t="inlineStr">
        <is>
          <t>Emmi</t>
        </is>
      </c>
      <c r="C687" s="6" t="inlineStr">
        <is>
          <t>Emmi yogurt, variant 1</t>
        </is>
      </c>
      <c r="D687" s="0" t="n">
        <v>25</v>
      </c>
      <c r="E687" s="7" t="inlineStr">
        <is>
          <t>Fresh Food</t>
        </is>
      </c>
      <c r="F687" s="7" t="n"/>
      <c r="G687" s="0" t="inlineStr">
        <is>
          <t>Unknown</t>
        </is>
      </c>
      <c r="H687" s="0" t="inlineStr">
        <is>
          <t>25/3</t>
        </is>
      </c>
      <c r="I687" s="7">
        <f>IF(H687="","",VALUE(LEFT(H687,FIND("/",H687)-1))/VALUE(MID(H687,FIND("/",H687)+1,99)))</f>
        <v/>
      </c>
      <c r="J687" s="0" t="inlineStr">
        <is>
          <t>Brand visible; flavor/size unreadable; promotion shown.</t>
        </is>
      </c>
      <c r="K687" s="0" t="inlineStr">
        <is>
          <t>https://www.emmi.ch/en/products/yogurt/</t>
        </is>
      </c>
      <c r="L687" s="0" t="inlineStr">
        <is>
          <t>IMG_7096.HEIC</t>
        </is>
      </c>
    </row>
    <row r="688">
      <c r="A688" s="0" t="n">
        <v>683</v>
      </c>
      <c r="B688" s="6" t="inlineStr">
        <is>
          <t>Chobani</t>
        </is>
      </c>
      <c r="C688" s="6" t="inlineStr">
        <is>
          <t>Chobani Greek Yogurt, blueberry</t>
        </is>
      </c>
      <c r="D688" s="0" t="n">
        <v>25</v>
      </c>
      <c r="E688" s="7" t="inlineStr">
        <is>
          <t>Fresh Food</t>
        </is>
      </c>
      <c r="F688" s="7" t="n"/>
      <c r="G688" s="0" t="inlineStr">
        <is>
          <t>Unknown</t>
        </is>
      </c>
      <c r="H688" s="0" t="n"/>
      <c r="I688" s="7">
        <f>IF(H688="","",VALUE(LEFT(H688,FIND("/",H688)-1))/VALUE(MID(H688,FIND("/",H688)+1,99)))</f>
        <v/>
      </c>
      <c r="J688" s="0" t="inlineStr">
        <is>
          <t>Blueberry label and brand visible; size unreadable.</t>
        </is>
      </c>
      <c r="K688" s="0" t="inlineStr">
        <is>
          <t>https://www.chobani.com/products/yogurt/greek-yogurt/</t>
        </is>
      </c>
      <c r="L688" s="0" t="inlineStr">
        <is>
          <t>IMG_7096.HEIC</t>
        </is>
      </c>
    </row>
    <row r="689">
      <c r="A689" s="0" t="n">
        <v>684</v>
      </c>
      <c r="B689" s="6" t="inlineStr">
        <is>
          <t>Chobani</t>
        </is>
      </c>
      <c r="C689" s="6" t="inlineStr">
        <is>
          <t>Chobani Greek Yogurt, plain/other variant</t>
        </is>
      </c>
      <c r="D689" s="0" t="n">
        <v>26</v>
      </c>
      <c r="E689" s="7" t="inlineStr">
        <is>
          <t>Fresh Food</t>
        </is>
      </c>
      <c r="F689" s="7" t="n"/>
      <c r="G689" s="0" t="inlineStr">
        <is>
          <t>Unknown</t>
        </is>
      </c>
      <c r="H689" s="0" t="n"/>
      <c r="I689" s="7">
        <f>IF(H689="","",VALUE(LEFT(H689,FIND("/",H689)-1))/VALUE(MID(H689,FIND("/",H689)+1,99)))</f>
        <v/>
      </c>
      <c r="J689" s="0" t="inlineStr">
        <is>
          <t>Brand visible; exact flavor and size unreadable.</t>
        </is>
      </c>
      <c r="K689" s="0" t="inlineStr">
        <is>
          <t>https://www.chobani.com/products/yogurt/greek-yogurt/</t>
        </is>
      </c>
      <c r="L689" s="0" t="inlineStr">
        <is>
          <t>IMG_7096.HEIC</t>
        </is>
      </c>
    </row>
    <row r="690">
      <c r="A690" s="0" t="n">
        <v>685</v>
      </c>
      <c r="B690" s="6" t="inlineStr">
        <is>
          <t>Unknown</t>
        </is>
      </c>
      <c r="C690" s="6" t="inlineStr">
        <is>
          <t>Unknown 100% Greek yogurt</t>
        </is>
      </c>
      <c r="D690" s="0" t="n">
        <v>31.9</v>
      </c>
      <c r="E690" s="7" t="inlineStr">
        <is>
          <t>Fresh Food</t>
        </is>
      </c>
      <c r="F690" s="7" t="n"/>
      <c r="G690" s="0" t="inlineStr">
        <is>
          <t>Unknown</t>
        </is>
      </c>
      <c r="H690" s="0" t="n"/>
      <c r="I690" s="7">
        <f>IF(H690="","",VALUE(LEFT(H690,FIND("/",H690)-1))/VALUE(MID(H690,FIND("/",H690)+1,99)))</f>
        <v/>
      </c>
      <c r="J690" s="0" t="inlineStr">
        <is>
          <t>Product text visible, brand obscured; size unreadable.</t>
        </is>
      </c>
      <c r="K690" s="0" t="str"/>
      <c r="L690" s="0" t="inlineStr">
        <is>
          <t>IMG_7096.HEIC</t>
        </is>
      </c>
    </row>
    <row r="691">
      <c r="A691" s="0" t="n">
        <v>686</v>
      </c>
      <c r="B691" s="6" t="inlineStr">
        <is>
          <t>Unknown</t>
        </is>
      </c>
      <c r="C691" s="6" t="inlineStr">
        <is>
          <t>Unknown Greek yogurt, second variant</t>
        </is>
      </c>
      <c r="D691" s="0" t="n">
        <v>33</v>
      </c>
      <c r="E691" s="7" t="inlineStr">
        <is>
          <t>Fresh Food</t>
        </is>
      </c>
      <c r="F691" s="7" t="n"/>
      <c r="G691" s="0" t="inlineStr">
        <is>
          <t>Unknown</t>
        </is>
      </c>
      <c r="H691" s="0" t="n"/>
      <c r="I691" s="7">
        <f>IF(H691="","",VALUE(LEFT(H691,FIND("/",H691)-1))/VALUE(MID(H691,FIND("/",H691)+1,99)))</f>
        <v/>
      </c>
      <c r="J691" s="0" t="inlineStr">
        <is>
          <t>Brand/flavor/size unreadable.</t>
        </is>
      </c>
      <c r="K691" s="0" t="str"/>
      <c r="L691" s="0" t="inlineStr">
        <is>
          <t>IMG_7096.HEIC</t>
        </is>
      </c>
    </row>
    <row r="692">
      <c r="A692" s="0" t="n">
        <v>687</v>
      </c>
      <c r="B692" s="6" t="inlineStr">
        <is>
          <t>Meiji</t>
        </is>
      </c>
      <c r="C692" s="6" t="inlineStr">
        <is>
          <t>Meiji probiotic yogurt</t>
        </is>
      </c>
      <c r="D692" s="0" t="n">
        <v>8.5</v>
      </c>
      <c r="E692" s="7" t="inlineStr">
        <is>
          <t>Fresh Food</t>
        </is>
      </c>
      <c r="F692" s="7" t="n"/>
      <c r="G692" s="0" t="inlineStr">
        <is>
          <t>Unknown</t>
        </is>
      </c>
      <c r="H692" s="0" t="n"/>
      <c r="I692" s="7">
        <f>IF(H692="","",VALUE(LEFT(H692,FIND("/",H692)-1))/VALUE(MID(H692,FIND("/",H692)+1,99)))</f>
        <v/>
      </c>
      <c r="J692" s="0" t="inlineStr">
        <is>
          <t>Brand and probiotic text visible; size unreadable.</t>
        </is>
      </c>
      <c r="K692" s="0" t="inlineStr">
        <is>
          <t>https://www.meiji.com/global/products/yogurt/</t>
        </is>
      </c>
      <c r="L692" s="0" t="inlineStr">
        <is>
          <t>IMG_7096.HEIC</t>
        </is>
      </c>
    </row>
    <row r="693">
      <c r="A693" s="0" t="n">
        <v>688</v>
      </c>
      <c r="B693" s="6" t="inlineStr">
        <is>
          <t>Pauls</t>
        </is>
      </c>
      <c r="C693" s="6" t="inlineStr">
        <is>
          <t>Pauls yogurt, blue variant</t>
        </is>
      </c>
      <c r="D693" s="0" t="n">
        <v>7</v>
      </c>
      <c r="E693" s="7" t="inlineStr">
        <is>
          <t>Fresh Food</t>
        </is>
      </c>
      <c r="F693" s="7" t="n"/>
      <c r="G693" s="0" t="inlineStr">
        <is>
          <t>Unknown</t>
        </is>
      </c>
      <c r="H693" s="0" t="n"/>
      <c r="I693" s="7">
        <f>IF(H693="","",VALUE(LEFT(H693,FIND("/",H693)-1))/VALUE(MID(H693,FIND("/",H693)+1,99)))</f>
        <v/>
      </c>
      <c r="J693" s="0" t="inlineStr">
        <is>
          <t>Brand visible; flavor/size unreadable.</t>
        </is>
      </c>
      <c r="K693" s="0" t="inlineStr">
        <is>
          <t>https://www.pauls.com.au/products/yoghurt/</t>
        </is>
      </c>
      <c r="L693" s="0" t="inlineStr">
        <is>
          <t>IMG_7096.HEIC</t>
        </is>
      </c>
    </row>
    <row r="694">
      <c r="A694" s="0" t="n">
        <v>689</v>
      </c>
      <c r="B694" s="6" t="inlineStr">
        <is>
          <t>Pauls</t>
        </is>
      </c>
      <c r="C694" s="6" t="inlineStr">
        <is>
          <t>Pauls yogurt, pink variant</t>
        </is>
      </c>
      <c r="D694" s="0" t="n">
        <v>7</v>
      </c>
      <c r="E694" s="7" t="inlineStr">
        <is>
          <t>Fresh Food</t>
        </is>
      </c>
      <c r="F694" s="7" t="n"/>
      <c r="G694" s="0" t="inlineStr">
        <is>
          <t>Unknown</t>
        </is>
      </c>
      <c r="H694" s="0" t="n"/>
      <c r="I694" s="7">
        <f>IF(H694="","",VALUE(LEFT(H694,FIND("/",H694)-1))/VALUE(MID(H694,FIND("/",H694)+1,99)))</f>
        <v/>
      </c>
      <c r="J694" s="0" t="inlineStr">
        <is>
          <t>Brand visible; flavor/size unreadable.</t>
        </is>
      </c>
      <c r="K694" s="0" t="inlineStr">
        <is>
          <t>https://www.pauls.com.au/products/yoghurt/</t>
        </is>
      </c>
      <c r="L694" s="0" t="inlineStr">
        <is>
          <t>IMG_7096.HEIC</t>
        </is>
      </c>
    </row>
    <row r="695">
      <c r="A695" s="0" t="n">
        <v>690</v>
      </c>
      <c r="B695" s="6" t="inlineStr">
        <is>
          <t>Bulla</t>
        </is>
      </c>
      <c r="C695" s="6" t="inlineStr">
        <is>
          <t>Bulla yogurt</t>
        </is>
      </c>
      <c r="D695" s="0" t="n">
        <v>16</v>
      </c>
      <c r="E695" s="7" t="inlineStr">
        <is>
          <t>Fresh Food</t>
        </is>
      </c>
      <c r="F695" s="7" t="n"/>
      <c r="G695" s="0" t="inlineStr">
        <is>
          <t>Unknown</t>
        </is>
      </c>
      <c r="H695" s="0" t="n"/>
      <c r="I695" s="7">
        <f>IF(H695="","",VALUE(LEFT(H695,FIND("/",H695)-1))/VALUE(MID(H695,FIND("/",H695)+1,99)))</f>
        <v/>
      </c>
      <c r="J695" s="0" t="inlineStr">
        <is>
          <t>Brand visible; flavor/size unreadable.</t>
        </is>
      </c>
      <c r="K695" s="0" t="inlineStr">
        <is>
          <t>https://www.bulla.com.au/products/yoghurt/</t>
        </is>
      </c>
      <c r="L695" s="0" t="inlineStr">
        <is>
          <t>IMG_7096.HEIC</t>
        </is>
      </c>
    </row>
    <row r="696">
      <c r="A696" s="0" t="n">
        <v>691</v>
      </c>
      <c r="B696" s="6" t="inlineStr">
        <is>
          <t>Daisy</t>
        </is>
      </c>
      <c r="C696" s="6" t="inlineStr">
        <is>
          <t>Daisy sour cream</t>
        </is>
      </c>
      <c r="D696" s="0" t="n">
        <v>40</v>
      </c>
      <c r="E696" s="7" t="inlineStr">
        <is>
          <t>Fresh Food</t>
        </is>
      </c>
      <c r="F696" s="7" t="n"/>
      <c r="G696" s="0" t="inlineStr">
        <is>
          <t>Unknown</t>
        </is>
      </c>
      <c r="H696" s="0" t="n"/>
      <c r="I696" s="7">
        <f>IF(H696="","",VALUE(LEFT(H696,FIND("/",H696)-1))/VALUE(MID(H696,FIND("/",H696)+1,99)))</f>
        <v/>
      </c>
      <c r="J696" s="0" t="inlineStr">
        <is>
          <t>Brand and Sour Cream visible; size unreadable.</t>
        </is>
      </c>
      <c r="K696" s="0" t="inlineStr">
        <is>
          <t>https://www.daisybrand.com/products/</t>
        </is>
      </c>
      <c r="L696" s="0" t="inlineStr">
        <is>
          <t>IMG_7096.HEIC</t>
        </is>
      </c>
    </row>
    <row r="697">
      <c r="A697" s="0" t="n">
        <v>692</v>
      </c>
      <c r="B697" s="6" t="inlineStr">
        <is>
          <t>Lurpak</t>
        </is>
      </c>
      <c r="C697" s="6" t="inlineStr">
        <is>
          <t>Lurpak spreadable butter</t>
        </is>
      </c>
      <c r="D697" s="0" t="n"/>
      <c r="E697" s="7" t="inlineStr">
        <is>
          <t>Fresh Food</t>
        </is>
      </c>
      <c r="F697" s="7" t="n"/>
      <c r="G697" s="0" t="inlineStr">
        <is>
          <t>Unknown</t>
        </is>
      </c>
      <c r="H697" s="0" t="n"/>
      <c r="I697" s="7">
        <f>IF(H697="","",VALUE(LEFT(H697,FIND("/",H697)-1))/VALUE(MID(H697,FIND("/",H697)+1,99)))</f>
        <v/>
      </c>
      <c r="J697" s="0" t="inlineStr">
        <is>
          <t>Brand visible; exact SKU, price and size obscured.</t>
        </is>
      </c>
      <c r="K697" s="0" t="inlineStr">
        <is>
          <t>https://www.lurpak.com/en/products/</t>
        </is>
      </c>
      <c r="L697" s="0" t="inlineStr">
        <is>
          <t>IMG_7096.HEIC</t>
        </is>
      </c>
    </row>
    <row r="698">
      <c r="A698" s="0" t="n">
        <v>693</v>
      </c>
      <c r="B698" s="6" t="inlineStr">
        <is>
          <t>Flora</t>
        </is>
      </c>
      <c r="C698" s="6" t="inlineStr">
        <is>
          <t>Flora spread, original/light variant</t>
        </is>
      </c>
      <c r="D698" s="0" t="n"/>
      <c r="E698" s="7" t="inlineStr">
        <is>
          <t>Fresh Food</t>
        </is>
      </c>
      <c r="F698" s="7" t="n"/>
      <c r="G698" s="0" t="inlineStr">
        <is>
          <t>Unknown</t>
        </is>
      </c>
      <c r="H698" s="0" t="n"/>
      <c r="I698" s="7">
        <f>IF(H698="","",VALUE(LEFT(H698,FIND("/",H698)-1))/VALUE(MID(H698,FIND("/",H698)+1,99)))</f>
        <v/>
      </c>
      <c r="J698" s="0" t="inlineStr">
        <is>
          <t>Brand visible; exact variant/size/price obscured.</t>
        </is>
      </c>
      <c r="K698" s="0" t="inlineStr">
        <is>
          <t>https://www.flora.com/products/</t>
        </is>
      </c>
      <c r="L698" s="0" t="inlineStr">
        <is>
          <t>IMG_7096.HEIC</t>
        </is>
      </c>
    </row>
    <row r="699">
      <c r="A699" s="0" t="n">
        <v>694</v>
      </c>
      <c r="B699" s="6" t="inlineStr">
        <is>
          <t>Philadelphia</t>
        </is>
      </c>
      <c r="C699" s="6" t="inlineStr">
        <is>
          <t>Philadelphia cream cheese</t>
        </is>
      </c>
      <c r="D699" s="0" t="n">
        <v>40</v>
      </c>
      <c r="E699" s="7" t="inlineStr">
        <is>
          <t>Fresh Food</t>
        </is>
      </c>
      <c r="F699" s="7" t="n"/>
      <c r="G699" s="0" t="inlineStr">
        <is>
          <t>Unknown</t>
        </is>
      </c>
      <c r="H699" s="0" t="n"/>
      <c r="I699" s="7">
        <f>IF(H699="","",VALUE(LEFT(H699,FIND("/",H699)-1))/VALUE(MID(H699,FIND("/",H699)+1,99)))</f>
        <v/>
      </c>
      <c r="J699" s="0" t="inlineStr">
        <is>
          <t>Brand visible; size unreadable.</t>
        </is>
      </c>
      <c r="K699" s="0" t="inlineStr">
        <is>
          <t>https://www.philadelphia.eu/en/products/</t>
        </is>
      </c>
      <c r="L699" s="0" t="inlineStr">
        <is>
          <t>IMG_7097.HEIC</t>
        </is>
      </c>
    </row>
    <row r="700">
      <c r="A700" s="0" t="n">
        <v>695</v>
      </c>
      <c r="B700" s="6" t="inlineStr">
        <is>
          <t>Crystal Farms</t>
        </is>
      </c>
      <c r="C700" s="6" t="inlineStr">
        <is>
          <t>Crystal Farms String Cheese</t>
        </is>
      </c>
      <c r="D700" s="0" t="n">
        <v>52</v>
      </c>
      <c r="E700" s="7" t="inlineStr">
        <is>
          <t>Fresh Food</t>
        </is>
      </c>
      <c r="F700" s="7" t="n"/>
      <c r="G700" s="0" t="inlineStr">
        <is>
          <t>Unknown</t>
        </is>
      </c>
      <c r="H700" s="0" t="n"/>
      <c r="I700" s="7">
        <f>IF(H700="","",VALUE(LEFT(H700,FIND("/",H700)-1))/VALUE(MID(H700,FIND("/",H700)+1,99)))</f>
        <v/>
      </c>
      <c r="J700" s="0" t="inlineStr">
        <is>
          <t>Brand and String Cheese visible; pack size unreadable.</t>
        </is>
      </c>
      <c r="K700" s="0" t="inlineStr">
        <is>
          <t>https://www.crystalfarmscheese.com/</t>
        </is>
      </c>
      <c r="L700" s="0" t="inlineStr">
        <is>
          <t>IMG_7097.HEIC</t>
        </is>
      </c>
    </row>
    <row r="701">
      <c r="A701" s="0" t="n">
        <v>696</v>
      </c>
      <c r="B701" s="6" t="inlineStr">
        <is>
          <t>Unknown</t>
        </is>
      </c>
      <c r="C701" s="6" t="inlineStr">
        <is>
          <t>Unknown dairy tub</t>
        </is>
      </c>
      <c r="D701" s="0" t="n">
        <v>39</v>
      </c>
      <c r="E701" s="7" t="inlineStr">
        <is>
          <t>Fresh Food</t>
        </is>
      </c>
      <c r="F701" s="7" t="n"/>
      <c r="G701" s="0" t="inlineStr">
        <is>
          <t>Unknown</t>
        </is>
      </c>
      <c r="H701" s="0" t="n"/>
      <c r="I701" s="7">
        <f>IF(H701="","",VALUE(LEFT(H701,FIND("/",H701)-1))/VALUE(MID(H701,FIND("/",H701)+1,99)))</f>
        <v/>
      </c>
      <c r="J701" s="0" t="inlineStr">
        <is>
          <t>Top row; label unreadable.</t>
        </is>
      </c>
      <c r="K701" s="0" t="str"/>
      <c r="L701" s="0" t="inlineStr">
        <is>
          <t>IMG_7097.HEIC</t>
        </is>
      </c>
    </row>
    <row r="702">
      <c r="A702" s="0" t="n">
        <v>697</v>
      </c>
      <c r="B702" s="6" t="inlineStr">
        <is>
          <t>Unknown</t>
        </is>
      </c>
      <c r="C702" s="6" t="inlineStr">
        <is>
          <t>Unknown sliced cheese pack</t>
        </is>
      </c>
      <c r="D702" s="0" t="n">
        <v>28</v>
      </c>
      <c r="E702" s="7" t="inlineStr">
        <is>
          <t>Fresh Food</t>
        </is>
      </c>
      <c r="F702" s="7" t="n"/>
      <c r="G702" s="0" t="inlineStr">
        <is>
          <t>Unknown</t>
        </is>
      </c>
      <c r="H702" s="0" t="n"/>
      <c r="I702" s="7">
        <f>IF(H702="","",VALUE(LEFT(H702,FIND("/",H702)-1))/VALUE(MID(H702,FIND("/",H702)+1,99)))</f>
        <v/>
      </c>
      <c r="J702" s="0" t="inlineStr">
        <is>
          <t>Top-right; brand/name unreadable.</t>
        </is>
      </c>
      <c r="K702" s="0" t="str"/>
      <c r="L702" s="0" t="inlineStr">
        <is>
          <t>IMG_7097.HEIC</t>
        </is>
      </c>
    </row>
    <row r="703">
      <c r="A703" s="0" t="n">
        <v>698</v>
      </c>
      <c r="B703" s="6" t="inlineStr">
        <is>
          <t>Chesdale</t>
        </is>
      </c>
      <c r="C703" s="6" t="inlineStr">
        <is>
          <t>Chesdale sliced cheese</t>
        </is>
      </c>
      <c r="D703" s="0" t="n">
        <v>39</v>
      </c>
      <c r="E703" s="7" t="inlineStr">
        <is>
          <t>Fresh Food</t>
        </is>
      </c>
      <c r="F703" s="7" t="n"/>
      <c r="G703" s="0" t="inlineStr">
        <is>
          <t>Unknown</t>
        </is>
      </c>
      <c r="H703" s="0" t="n"/>
      <c r="I703" s="7">
        <f>IF(H703="","",VALUE(LEFT(H703,FIND("/",H703)-1))/VALUE(MID(H703,FIND("/",H703)+1,99)))</f>
        <v/>
      </c>
      <c r="J703" s="0" t="inlineStr">
        <is>
          <t>Brand visible; size unreadable.</t>
        </is>
      </c>
      <c r="K703" s="0" t="inlineStr">
        <is>
          <t>https://www.mwbrands.co.nz/brands/chesdale/</t>
        </is>
      </c>
      <c r="L703" s="0" t="inlineStr">
        <is>
          <t>IMG_7097.HEIC</t>
        </is>
      </c>
    </row>
    <row r="704">
      <c r="A704" s="0" t="n">
        <v>699</v>
      </c>
      <c r="B704" s="6" t="inlineStr">
        <is>
          <t>Kraft</t>
        </is>
      </c>
      <c r="C704" s="6" t="inlineStr">
        <is>
          <t>Kraft Singles</t>
        </is>
      </c>
      <c r="D704" s="0" t="n">
        <v>39</v>
      </c>
      <c r="E704" s="7" t="inlineStr">
        <is>
          <t>Fresh Food</t>
        </is>
      </c>
      <c r="F704" s="7" t="n"/>
      <c r="G704" s="0" t="inlineStr">
        <is>
          <t>Unknown</t>
        </is>
      </c>
      <c r="H704" s="0" t="n"/>
      <c r="I704" s="7">
        <f>IF(H704="","",VALUE(LEFT(H704,FIND("/",H704)-1))/VALUE(MID(H704,FIND("/",H704)+1,99)))</f>
        <v/>
      </c>
      <c r="J704" s="0" t="inlineStr">
        <is>
          <t>Brand/product visible; pack size unreadable.</t>
        </is>
      </c>
      <c r="K704" s="0" t="inlineStr">
        <is>
          <t>https://www.kraftheinz.com/kraft-singles/products</t>
        </is>
      </c>
      <c r="L704" s="0" t="inlineStr">
        <is>
          <t>IMG_7097.HEIC</t>
        </is>
      </c>
    </row>
    <row r="705">
      <c r="A705" s="0" t="n">
        <v>700</v>
      </c>
      <c r="B705" s="6" t="inlineStr">
        <is>
          <t>President</t>
        </is>
      </c>
      <c r="C705" s="6" t="inlineStr">
        <is>
          <t>President Cheddar</t>
        </is>
      </c>
      <c r="D705" s="0" t="n">
        <v>39</v>
      </c>
      <c r="E705" s="7" t="inlineStr">
        <is>
          <t>Fresh Food</t>
        </is>
      </c>
      <c r="F705" s="7" t="n"/>
      <c r="G705" s="0" t="inlineStr">
        <is>
          <t>Unknown</t>
        </is>
      </c>
      <c r="H705" s="0" t="n"/>
      <c r="I705" s="7">
        <f>IF(H705="","",VALUE(LEFT(H705,FIND("/",H705)-1))/VALUE(MID(H705,FIND("/",H705)+1,99)))</f>
        <v/>
      </c>
      <c r="J705" s="0" t="inlineStr">
        <is>
          <t>Brand/product visible; pack size unreadable.</t>
        </is>
      </c>
      <c r="K705" s="0" t="inlineStr">
        <is>
          <t>https://www.president.fr/en/products/cheese/</t>
        </is>
      </c>
      <c r="L705" s="0" t="inlineStr">
        <is>
          <t>IMG_7097.HEIC</t>
        </is>
      </c>
    </row>
    <row r="706">
      <c r="A706" s="0" t="n">
        <v>701</v>
      </c>
      <c r="B706" s="6" t="inlineStr">
        <is>
          <t>Laughing Cow</t>
        </is>
      </c>
      <c r="C706" s="6" t="inlineStr">
        <is>
          <t>The Laughing Cow cheese</t>
        </is>
      </c>
      <c r="D706" s="0" t="n">
        <v>29</v>
      </c>
      <c r="E706" s="7" t="inlineStr">
        <is>
          <t>Fresh Food</t>
        </is>
      </c>
      <c r="F706" s="7" t="n"/>
      <c r="G706" s="0" t="inlineStr">
        <is>
          <t>Unknown</t>
        </is>
      </c>
      <c r="H706" s="0" t="n"/>
      <c r="I706" s="7">
        <f>IF(H706="","",VALUE(LEFT(H706,FIND("/",H706)-1))/VALUE(MID(H706,FIND("/",H706)+1,99)))</f>
        <v/>
      </c>
      <c r="J706" s="0" t="inlineStr">
        <is>
          <t>Brand visible; exact format/size unreadable.</t>
        </is>
      </c>
      <c r="K706" s="0" t="inlineStr">
        <is>
          <t>https://www.thelaughingcow.com/products/</t>
        </is>
      </c>
      <c r="L706" s="0" t="inlineStr">
        <is>
          <t>IMG_7097.HEIC</t>
        </is>
      </c>
    </row>
    <row r="707">
      <c r="A707" s="0" t="n">
        <v>702</v>
      </c>
      <c r="B707" s="6" t="inlineStr">
        <is>
          <t>Crystal Farms</t>
        </is>
      </c>
      <c r="C707" s="6" t="inlineStr">
        <is>
          <t>Crystal Farms White Sharp Cheddar</t>
        </is>
      </c>
      <c r="D707" s="0" t="n">
        <v>75</v>
      </c>
      <c r="E707" s="7" t="inlineStr">
        <is>
          <t>Fresh Food</t>
        </is>
      </c>
      <c r="F707" s="7" t="n"/>
      <c r="G707" s="0" t="inlineStr">
        <is>
          <t>Unknown</t>
        </is>
      </c>
      <c r="H707" s="0" t="n"/>
      <c r="I707" s="7">
        <f>IF(H707="","",VALUE(LEFT(H707,FIND("/",H707)-1))/VALUE(MID(H707,FIND("/",H707)+1,99)))</f>
        <v/>
      </c>
      <c r="J707" s="0" t="inlineStr">
        <is>
          <t>Brand/product visible; size unreadable.</t>
        </is>
      </c>
      <c r="K707" s="0" t="inlineStr">
        <is>
          <t>https://www.crystalfarmscheese.com/</t>
        </is>
      </c>
      <c r="L707" s="0" t="inlineStr">
        <is>
          <t>IMG_7097.HEIC</t>
        </is>
      </c>
    </row>
    <row r="708">
      <c r="A708" s="0" t="n">
        <v>703</v>
      </c>
      <c r="B708" s="6" t="inlineStr">
        <is>
          <t>Crystal Farms</t>
        </is>
      </c>
      <c r="C708" s="6" t="inlineStr">
        <is>
          <t>Crystal Farms Cheddar</t>
        </is>
      </c>
      <c r="D708" s="0" t="n">
        <v>75</v>
      </c>
      <c r="E708" s="7" t="inlineStr">
        <is>
          <t>Fresh Food</t>
        </is>
      </c>
      <c r="F708" s="7" t="n"/>
      <c r="G708" s="0" t="inlineStr">
        <is>
          <t>Unknown</t>
        </is>
      </c>
      <c r="H708" s="0" t="n"/>
      <c r="I708" s="7">
        <f>IF(H708="","",VALUE(LEFT(H708,FIND("/",H708)-1))/VALUE(MID(H708,FIND("/",H708)+1,99)))</f>
        <v/>
      </c>
      <c r="J708" s="0" t="inlineStr">
        <is>
          <t>Brand/product visible; size unreadable.</t>
        </is>
      </c>
      <c r="K708" s="0" t="inlineStr">
        <is>
          <t>https://www.crystalfarmscheese.com/</t>
        </is>
      </c>
      <c r="L708" s="0" t="inlineStr">
        <is>
          <t>IMG_7097.HEIC</t>
        </is>
      </c>
    </row>
    <row r="709">
      <c r="A709" s="0" t="n">
        <v>704</v>
      </c>
      <c r="B709" s="6" t="inlineStr">
        <is>
          <t>Crystal Farms</t>
        </is>
      </c>
      <c r="C709" s="6" t="inlineStr">
        <is>
          <t>Crystal Farms Mozzarella</t>
        </is>
      </c>
      <c r="D709" s="0" t="n">
        <v>75</v>
      </c>
      <c r="E709" s="7" t="inlineStr">
        <is>
          <t>Fresh Food</t>
        </is>
      </c>
      <c r="F709" s="7" t="n"/>
      <c r="G709" s="0" t="inlineStr">
        <is>
          <t>Unknown</t>
        </is>
      </c>
      <c r="H709" s="0" t="n"/>
      <c r="I709" s="7">
        <f>IF(H709="","",VALUE(LEFT(H709,FIND("/",H709)-1))/VALUE(MID(H709,FIND("/",H709)+1,99)))</f>
        <v/>
      </c>
      <c r="J709" s="0" t="inlineStr">
        <is>
          <t>Brand/product visible; size unreadable.</t>
        </is>
      </c>
      <c r="K709" s="0" t="inlineStr">
        <is>
          <t>https://www.crystalfarmscheese.com/</t>
        </is>
      </c>
      <c r="L709" s="0" t="inlineStr">
        <is>
          <t>IMG_7097.HEIC</t>
        </is>
      </c>
    </row>
    <row r="710">
      <c r="A710" s="0" t="n">
        <v>705</v>
      </c>
      <c r="B710" s="6" t="inlineStr">
        <is>
          <t>Crystal Farms</t>
        </is>
      </c>
      <c r="C710" s="6" t="inlineStr">
        <is>
          <t>Crystal Farms Parmesan</t>
        </is>
      </c>
      <c r="D710" s="0" t="n">
        <v>75</v>
      </c>
      <c r="E710" s="7" t="inlineStr">
        <is>
          <t>Fresh Food</t>
        </is>
      </c>
      <c r="F710" s="7" t="n"/>
      <c r="G710" s="0" t="inlineStr">
        <is>
          <t>Unknown</t>
        </is>
      </c>
      <c r="H710" s="0" t="n"/>
      <c r="I710" s="7">
        <f>IF(H710="","",VALUE(LEFT(H710,FIND("/",H710)-1))/VALUE(MID(H710,FIND("/",H710)+1,99)))</f>
        <v/>
      </c>
      <c r="J710" s="0" t="inlineStr">
        <is>
          <t>Brand/product visible; size unreadable.</t>
        </is>
      </c>
      <c r="K710" s="0" t="inlineStr">
        <is>
          <t>https://www.crystalfarmscheese.com/</t>
        </is>
      </c>
      <c r="L710" s="0" t="inlineStr">
        <is>
          <t>IMG_7097.HEIC</t>
        </is>
      </c>
    </row>
    <row r="711">
      <c r="A711" s="0" t="n">
        <v>706</v>
      </c>
      <c r="B711" s="6" t="inlineStr">
        <is>
          <t>President</t>
        </is>
      </c>
      <c r="C711" s="6" t="inlineStr">
        <is>
          <t>President butter</t>
        </is>
      </c>
      <c r="D711" s="0" t="n">
        <v>40</v>
      </c>
      <c r="E711" s="7" t="inlineStr">
        <is>
          <t>Fresh Food</t>
        </is>
      </c>
      <c r="F711" s="7" t="n"/>
      <c r="G711" s="0" t="inlineStr">
        <is>
          <t>Unknown</t>
        </is>
      </c>
      <c r="H711" s="0" t="n"/>
      <c r="I711" s="7">
        <f>IF(H711="","",VALUE(LEFT(H711,FIND("/",H711)-1))/VALUE(MID(H711,FIND("/",H711)+1,99)))</f>
        <v/>
      </c>
      <c r="J711" s="0" t="inlineStr">
        <is>
          <t>Brand visible; exact variant/size unreadable.</t>
        </is>
      </c>
      <c r="K711" s="0" t="inlineStr">
        <is>
          <t>https://www.president.fr/en/products/butter/</t>
        </is>
      </c>
      <c r="L711" s="0" t="inlineStr">
        <is>
          <t>IMG_7097.HEIC</t>
        </is>
      </c>
    </row>
    <row r="712">
      <c r="A712" s="0" t="n">
        <v>707</v>
      </c>
      <c r="B712" s="6" t="inlineStr">
        <is>
          <t>Westgold</t>
        </is>
      </c>
      <c r="C712" s="6" t="inlineStr">
        <is>
          <t>Westgold butter</t>
        </is>
      </c>
      <c r="D712" s="0" t="n">
        <v>40</v>
      </c>
      <c r="E712" s="7" t="inlineStr">
        <is>
          <t>Fresh Food</t>
        </is>
      </c>
      <c r="F712" s="7" t="n"/>
      <c r="G712" s="0" t="inlineStr">
        <is>
          <t>Unknown</t>
        </is>
      </c>
      <c r="H712" s="0" t="n"/>
      <c r="I712" s="7">
        <f>IF(H712="","",VALUE(LEFT(H712,FIND("/",H712)-1))/VALUE(MID(H712,FIND("/",H712)+1,99)))</f>
        <v/>
      </c>
      <c r="J712" s="0" t="inlineStr">
        <is>
          <t>Brand visible; exact variant/size unreadable.</t>
        </is>
      </c>
      <c r="K712" s="0" t="inlineStr">
        <is>
          <t>https://westgold.co.nz/products/butter/</t>
        </is>
      </c>
      <c r="L712" s="0" t="inlineStr">
        <is>
          <t>IMG_7097.HEIC</t>
        </is>
      </c>
    </row>
    <row r="713">
      <c r="A713" s="0" t="n">
        <v>708</v>
      </c>
      <c r="B713" s="6" t="inlineStr">
        <is>
          <t>Anchor</t>
        </is>
      </c>
      <c r="C713" s="6" t="inlineStr">
        <is>
          <t>Anchor butter</t>
        </is>
      </c>
      <c r="D713" s="0" t="n">
        <v>35</v>
      </c>
      <c r="E713" s="7" t="inlineStr">
        <is>
          <t>Fresh Food</t>
        </is>
      </c>
      <c r="F713" s="7" t="n"/>
      <c r="G713" s="0" t="inlineStr">
        <is>
          <t>Unknown</t>
        </is>
      </c>
      <c r="H713" s="0" t="n"/>
      <c r="I713" s="7">
        <f>IF(H713="","",VALUE(LEFT(H713,FIND("/",H713)-1))/VALUE(MID(H713,FIND("/",H713)+1,99)))</f>
        <v/>
      </c>
      <c r="J713" s="0" t="inlineStr">
        <is>
          <t>Brand visible; exact variant/size unreadable.</t>
        </is>
      </c>
      <c r="K713" s="0" t="inlineStr">
        <is>
          <t>https://www.anchordairy.com/products/butter.html</t>
        </is>
      </c>
      <c r="L713" s="0" t="inlineStr">
        <is>
          <t>IMG_7097.HEIC</t>
        </is>
      </c>
    </row>
    <row r="714">
      <c r="A714" s="0" t="n">
        <v>709</v>
      </c>
      <c r="B714" s="6" t="inlineStr">
        <is>
          <t>Daisy</t>
        </is>
      </c>
      <c r="C714" s="6" t="inlineStr">
        <is>
          <t>Daisy butter</t>
        </is>
      </c>
      <c r="D714" s="0" t="n">
        <v>40</v>
      </c>
      <c r="E714" s="7" t="inlineStr">
        <is>
          <t>Fresh Food</t>
        </is>
      </c>
      <c r="F714" s="7" t="n"/>
      <c r="G714" s="0" t="inlineStr">
        <is>
          <t>Unknown</t>
        </is>
      </c>
      <c r="H714" s="0" t="n"/>
      <c r="I714" s="7">
        <f>IF(H714="","",VALUE(LEFT(H714,FIND("/",H714)-1))/VALUE(MID(H714,FIND("/",H714)+1,99)))</f>
        <v/>
      </c>
      <c r="J714" s="0" t="inlineStr">
        <is>
          <t>Brand visible; exact variant/size unreadable.</t>
        </is>
      </c>
      <c r="K714" s="0" t="inlineStr">
        <is>
          <t>https://www.daisybrand.com/products/</t>
        </is>
      </c>
      <c r="L714" s="0" t="inlineStr">
        <is>
          <t>IMG_7097.HEIC</t>
        </is>
      </c>
    </row>
    <row r="715">
      <c r="A715" s="0" t="n">
        <v>710</v>
      </c>
      <c r="B715" s="6" t="inlineStr">
        <is>
          <t>Lurpak</t>
        </is>
      </c>
      <c r="C715" s="6" t="inlineStr">
        <is>
          <t>Lurpak spreadable butter</t>
        </is>
      </c>
      <c r="D715" s="0" t="n">
        <v>58</v>
      </c>
      <c r="E715" s="7" t="inlineStr">
        <is>
          <t>Fresh Food</t>
        </is>
      </c>
      <c r="F715" s="7" t="n"/>
      <c r="G715" s="0" t="inlineStr">
        <is>
          <t>Unknown</t>
        </is>
      </c>
      <c r="H715" s="0" t="n"/>
      <c r="I715" s="7">
        <f>IF(H715="","",VALUE(LEFT(H715,FIND("/",H715)-1))/VALUE(MID(H715,FIND("/",H715)+1,99)))</f>
        <v/>
      </c>
      <c r="J715" s="0" t="inlineStr">
        <is>
          <t>Brand visible; exact variant/size unreadable.</t>
        </is>
      </c>
      <c r="K715" s="0" t="inlineStr">
        <is>
          <t>https://www.lurpak.com/en/products/</t>
        </is>
      </c>
      <c r="L715" s="0" t="inlineStr">
        <is>
          <t>IMG_7097.HEIC</t>
        </is>
      </c>
    </row>
    <row r="716">
      <c r="A716" s="0" t="n">
        <v>711</v>
      </c>
      <c r="B716" s="6" t="inlineStr">
        <is>
          <t>Flora</t>
        </is>
      </c>
      <c r="C716" s="6" t="inlineStr">
        <is>
          <t>Flora Original/Light spread</t>
        </is>
      </c>
      <c r="D716" s="0" t="n">
        <v>35</v>
      </c>
      <c r="E716" s="7" t="inlineStr">
        <is>
          <t>Fresh Food</t>
        </is>
      </c>
      <c r="F716" s="7" t="n"/>
      <c r="G716" s="0" t="inlineStr">
        <is>
          <t>Unknown</t>
        </is>
      </c>
      <c r="H716" s="0" t="n"/>
      <c r="I716" s="7">
        <f>IF(H716="","",VALUE(LEFT(H716,FIND("/",H716)-1))/VALUE(MID(H716,FIND("/",H716)+1,99)))</f>
        <v/>
      </c>
      <c r="J716" s="0" t="inlineStr">
        <is>
          <t>Brand visible; exact variant/size unreadable.</t>
        </is>
      </c>
      <c r="K716" s="0" t="inlineStr">
        <is>
          <t>https://www.flora.com/products/</t>
        </is>
      </c>
      <c r="L716" s="0" t="inlineStr">
        <is>
          <t>IMG_7097.HEIC</t>
        </is>
      </c>
    </row>
    <row r="717">
      <c r="A717" s="0" t="n">
        <v>712</v>
      </c>
      <c r="B717" s="6" t="inlineStr">
        <is>
          <t>Unknown</t>
        </is>
      </c>
      <c r="C717" s="6" t="inlineStr">
        <is>
          <t>Unknown packaged tofu/bean curd</t>
        </is>
      </c>
      <c r="D717" s="0" t="n"/>
      <c r="E717" s="7" t="inlineStr">
        <is>
          <t>Fresh Food</t>
        </is>
      </c>
      <c r="F717" s="7" t="n"/>
      <c r="G717" s="0" t="inlineStr">
        <is>
          <t>Unknown</t>
        </is>
      </c>
      <c r="H717" s="0" t="n"/>
      <c r="I717" s="7">
        <f>IF(H717="","",VALUE(LEFT(H717,FIND("/",H717)-1))/VALUE(MID(H717,FIND("/",H717)+1,99)))</f>
        <v/>
      </c>
      <c r="J717" s="0" t="inlineStr">
        <is>
          <t>Bottom shelf; Chinese labels and prices unreadable.</t>
        </is>
      </c>
      <c r="K717" s="0" t="str"/>
      <c r="L717" s="0" t="inlineStr">
        <is>
          <t>IMG_7097.HEIC</t>
        </is>
      </c>
    </row>
    <row r="718">
      <c r="A718" s="0" t="n">
        <v>713</v>
      </c>
      <c r="B718" s="6" t="inlineStr">
        <is>
          <t>Unknown</t>
        </is>
      </c>
      <c r="C718" s="6" t="inlineStr">
        <is>
          <t>Unknown canned seafood, variant 1</t>
        </is>
      </c>
      <c r="D718" s="0" t="n"/>
      <c r="E718" s="7" t="inlineStr">
        <is>
          <t>Groceries</t>
        </is>
      </c>
      <c r="F718" s="7" t="inlineStr">
        <is>
          <t>Canned Goods</t>
        </is>
      </c>
      <c r="G718" s="0" t="inlineStr">
        <is>
          <t>Unknown</t>
        </is>
      </c>
      <c r="H718" s="0" t="n"/>
      <c r="I718" s="7">
        <f>IF(H718="","",VALUE(LEFT(H718,FIND("/",H718)-1))/VALUE(MID(H718,FIND("/",H718)+1,99)))</f>
        <v/>
      </c>
      <c r="J718" s="0" t="inlineStr">
        <is>
          <t>Top-left; label unreadable.</t>
        </is>
      </c>
      <c r="K718" s="0" t="str"/>
      <c r="L718" s="0" t="inlineStr">
        <is>
          <t>IMG_7098.HEIC</t>
        </is>
      </c>
    </row>
    <row r="719">
      <c r="A719" s="0" t="n">
        <v>714</v>
      </c>
      <c r="B719" s="6" t="inlineStr">
        <is>
          <t>Unknown</t>
        </is>
      </c>
      <c r="C719" s="6" t="inlineStr">
        <is>
          <t>Unknown canned seafood, variant 2</t>
        </is>
      </c>
      <c r="D719" s="0" t="n"/>
      <c r="E719" s="7" t="inlineStr">
        <is>
          <t>Groceries</t>
        </is>
      </c>
      <c r="F719" s="7" t="inlineStr">
        <is>
          <t>Canned Goods</t>
        </is>
      </c>
      <c r="G719" s="0" t="inlineStr">
        <is>
          <t>Unknown</t>
        </is>
      </c>
      <c r="H719" s="0" t="n"/>
      <c r="I719" s="7">
        <f>IF(H719="","",VALUE(LEFT(H719,FIND("/",H719)-1))/VALUE(MID(H719,FIND("/",H719)+1,99)))</f>
        <v/>
      </c>
      <c r="J719" s="0" t="inlineStr">
        <is>
          <t>Top-left; label unreadable.</t>
        </is>
      </c>
      <c r="K719" s="0" t="str"/>
      <c r="L719" s="0" t="inlineStr">
        <is>
          <t>IMG_7098.HEIC</t>
        </is>
      </c>
    </row>
    <row r="720">
      <c r="A720" s="0" t="n">
        <v>715</v>
      </c>
      <c r="B720" s="6" t="inlineStr">
        <is>
          <t>Unknown</t>
        </is>
      </c>
      <c r="C720" s="6" t="inlineStr">
        <is>
          <t>Unknown sardines in tomato sauce</t>
        </is>
      </c>
      <c r="D720" s="0" t="n">
        <v>15</v>
      </c>
      <c r="E720" s="7" t="inlineStr">
        <is>
          <t>Groceries</t>
        </is>
      </c>
      <c r="F720" s="7" t="inlineStr">
        <is>
          <t>Canned Goods</t>
        </is>
      </c>
      <c r="G720" s="0" t="inlineStr">
        <is>
          <t>Unknown</t>
        </is>
      </c>
      <c r="H720" s="0" t="n"/>
      <c r="I720" s="7">
        <f>IF(H720="","",VALUE(LEFT(H720,FIND("/",H720)-1))/VALUE(MID(H720,FIND("/",H720)+1,99)))</f>
        <v/>
      </c>
      <c r="J720" s="0" t="inlineStr">
        <is>
          <t>SARDINES and tomato sauce visible; brand/size unreadable.</t>
        </is>
      </c>
      <c r="K720" s="0" t="str"/>
      <c r="L720" s="0" t="inlineStr">
        <is>
          <t>IMG_7098.HEIC</t>
        </is>
      </c>
    </row>
    <row r="721">
      <c r="A721" s="0" t="n">
        <v>716</v>
      </c>
      <c r="B721" s="6" t="inlineStr">
        <is>
          <t>Unknown</t>
        </is>
      </c>
      <c r="C721" s="6" t="inlineStr">
        <is>
          <t>Unknown sardines in tomato sauce, second variant</t>
        </is>
      </c>
      <c r="D721" s="0" t="n">
        <v>15</v>
      </c>
      <c r="E721" s="7" t="inlineStr">
        <is>
          <t>Groceries</t>
        </is>
      </c>
      <c r="F721" s="7" t="inlineStr">
        <is>
          <t>Canned Goods</t>
        </is>
      </c>
      <c r="G721" s="0" t="inlineStr">
        <is>
          <t>Unknown</t>
        </is>
      </c>
      <c r="H721" s="0" t="n"/>
      <c r="I721" s="7">
        <f>IF(H721="","",VALUE(LEFT(H721,FIND("/",H721)-1))/VALUE(MID(H721,FIND("/",H721)+1,99)))</f>
        <v/>
      </c>
      <c r="J721" s="0" t="inlineStr">
        <is>
          <t>SARDINES and tomato sauce visible; brand/size unreadable.</t>
        </is>
      </c>
      <c r="K721" s="0" t="str"/>
      <c r="L721" s="0" t="inlineStr">
        <is>
          <t>IMG_7098.HEIC</t>
        </is>
      </c>
    </row>
    <row r="722">
      <c r="A722" s="0" t="n">
        <v>717</v>
      </c>
      <c r="B722" s="6" t="inlineStr">
        <is>
          <t>Unknown</t>
        </is>
      </c>
      <c r="C722" s="6" t="inlineStr">
        <is>
          <t>Unknown yellow canned fish</t>
        </is>
      </c>
      <c r="D722" s="0" t="n">
        <v>25</v>
      </c>
      <c r="E722" s="7" t="inlineStr">
        <is>
          <t>Groceries</t>
        </is>
      </c>
      <c r="F722" s="7" t="inlineStr">
        <is>
          <t>Canned Goods</t>
        </is>
      </c>
      <c r="G722" s="0" t="inlineStr">
        <is>
          <t>Unknown</t>
        </is>
      </c>
      <c r="H722" s="0" t="n"/>
      <c r="I722" s="7">
        <f>IF(H722="","",VALUE(LEFT(H722,FIND("/",H722)-1))/VALUE(MID(H722,FIND("/",H722)+1,99)))</f>
        <v/>
      </c>
      <c r="J722" s="0" t="inlineStr">
        <is>
          <t>Brand/product unreadable; promotional muscle-gain tag visible.</t>
        </is>
      </c>
      <c r="K722" s="0" t="str"/>
      <c r="L722" s="0" t="inlineStr">
        <is>
          <t>IMG_7098.HEIC</t>
        </is>
      </c>
    </row>
    <row r="723">
      <c r="A723" s="0" t="n">
        <v>718</v>
      </c>
      <c r="B723" s="6" t="inlineStr">
        <is>
          <t>Unknown</t>
        </is>
      </c>
      <c r="C723" s="6" t="inlineStr">
        <is>
          <t>Unknown canned fish with fish illustration</t>
        </is>
      </c>
      <c r="D723" s="0" t="n">
        <v>25</v>
      </c>
      <c r="E723" s="7" t="inlineStr">
        <is>
          <t>Groceries</t>
        </is>
      </c>
      <c r="F723" s="7" t="inlineStr">
        <is>
          <t>Canned Goods</t>
        </is>
      </c>
      <c r="G723" s="0" t="inlineStr">
        <is>
          <t>Unknown</t>
        </is>
      </c>
      <c r="H723" s="0" t="n"/>
      <c r="I723" s="7">
        <f>IF(H723="","",VALUE(LEFT(H723,FIND("/",H723)-1))/VALUE(MID(H723,FIND("/",H723)+1,99)))</f>
        <v/>
      </c>
      <c r="J723" s="0" t="inlineStr">
        <is>
          <t>Chinese label; likely fried dace/fish, but not sufficiently legible.</t>
        </is>
      </c>
      <c r="K723" s="0" t="str"/>
      <c r="L723" s="0" t="inlineStr">
        <is>
          <t>IMG_7098.HEIC</t>
        </is>
      </c>
    </row>
    <row r="724">
      <c r="A724" s="0" t="n">
        <v>719</v>
      </c>
      <c r="B724" s="6" t="inlineStr">
        <is>
          <t>Unknown</t>
        </is>
      </c>
      <c r="C724" s="6" t="inlineStr">
        <is>
          <t>Unknown canned fish, large tin</t>
        </is>
      </c>
      <c r="D724" s="0" t="n">
        <v>28</v>
      </c>
      <c r="E724" s="7" t="inlineStr">
        <is>
          <t>Groceries</t>
        </is>
      </c>
      <c r="F724" s="7" t="inlineStr">
        <is>
          <t>Canned Goods</t>
        </is>
      </c>
      <c r="G724" s="0" t="inlineStr">
        <is>
          <t>Unknown</t>
        </is>
      </c>
      <c r="H724" s="0" t="n"/>
      <c r="I724" s="7">
        <f>IF(H724="","",VALUE(LEFT(H724,FIND("/",H724)-1))/VALUE(MID(H724,FIND("/",H724)+1,99)))</f>
        <v/>
      </c>
      <c r="J724" s="0" t="inlineStr">
        <is>
          <t>Large yellow/red tin; name/size unreadable.</t>
        </is>
      </c>
      <c r="K724" s="0" t="str"/>
      <c r="L724" s="0" t="inlineStr">
        <is>
          <t>IMG_7098.HEIC</t>
        </is>
      </c>
    </row>
    <row r="725">
      <c r="A725" s="0" t="n">
        <v>720</v>
      </c>
      <c r="B725" s="6" t="inlineStr">
        <is>
          <t>Unknown</t>
        </is>
      </c>
      <c r="C725" s="6" t="inlineStr">
        <is>
          <t>Unknown canned meat/fish, yellow-red variant</t>
        </is>
      </c>
      <c r="D725" s="0" t="n">
        <v>45</v>
      </c>
      <c r="E725" s="7" t="inlineStr">
        <is>
          <t>Groceries</t>
        </is>
      </c>
      <c r="F725" s="7" t="inlineStr">
        <is>
          <t>Canned Goods</t>
        </is>
      </c>
      <c r="G725" s="0" t="inlineStr">
        <is>
          <t>Unknown</t>
        </is>
      </c>
      <c r="H725" s="0" t="n"/>
      <c r="I725" s="7">
        <f>IF(H725="","",VALUE(LEFT(H725,FIND("/",H725)-1))/VALUE(MID(H725,FIND("/",H725)+1,99)))</f>
        <v/>
      </c>
      <c r="J725" s="0" t="inlineStr">
        <is>
          <t>Middle shelf; exact product unreadable.</t>
        </is>
      </c>
      <c r="K725" s="0" t="str"/>
      <c r="L725" s="0" t="inlineStr">
        <is>
          <t>IMG_7098.HEIC</t>
        </is>
      </c>
    </row>
    <row r="726">
      <c r="A726" s="0" t="n">
        <v>721</v>
      </c>
      <c r="B726" s="6" t="inlineStr">
        <is>
          <t>Unknown</t>
        </is>
      </c>
      <c r="C726" s="6" t="inlineStr">
        <is>
          <t>Unknown canned meat/fish, green variant</t>
        </is>
      </c>
      <c r="D726" s="0" t="n">
        <v>15</v>
      </c>
      <c r="E726" s="7" t="inlineStr">
        <is>
          <t>Groceries</t>
        </is>
      </c>
      <c r="F726" s="7" t="inlineStr">
        <is>
          <t>Canned Goods</t>
        </is>
      </c>
      <c r="G726" s="0" t="inlineStr">
        <is>
          <t>Unknown</t>
        </is>
      </c>
      <c r="H726" s="0" t="n"/>
      <c r="I726" s="7">
        <f>IF(H726="","",VALUE(LEFT(H726,FIND("/",H726)-1))/VALUE(MID(H726,FIND("/",H726)+1,99)))</f>
        <v/>
      </c>
      <c r="J726" s="0" t="inlineStr">
        <is>
          <t>Lower-left; label unreadable.</t>
        </is>
      </c>
      <c r="K726" s="0" t="str"/>
      <c r="L726" s="0" t="inlineStr">
        <is>
          <t>IMG_7098.HEIC</t>
        </is>
      </c>
    </row>
    <row r="727">
      <c r="A727" s="0" t="n">
        <v>722</v>
      </c>
      <c r="B727" s="6" t="inlineStr">
        <is>
          <t>Ligo</t>
        </is>
      </c>
      <c r="C727" s="6" t="inlineStr">
        <is>
          <t>Ligo Lite canned fish</t>
        </is>
      </c>
      <c r="D727" s="0" t="n">
        <v>28</v>
      </c>
      <c r="E727" s="7" t="inlineStr">
        <is>
          <t>Groceries</t>
        </is>
      </c>
      <c r="F727" s="7" t="inlineStr">
        <is>
          <t>Canned Goods</t>
        </is>
      </c>
      <c r="G727" s="0" t="inlineStr">
        <is>
          <t>Unknown</t>
        </is>
      </c>
      <c r="H727" s="0" t="n"/>
      <c r="I727" s="7">
        <f>IF(H727="","",VALUE(LEFT(H727,FIND("/",H727)-1))/VALUE(MID(H727,FIND("/",H727)+1,99)))</f>
        <v/>
      </c>
      <c r="J727" s="0" t="inlineStr">
        <is>
          <t>Ligo Lite text visible; fish type/size unreadable.</t>
        </is>
      </c>
      <c r="K727" s="0" t="inlineStr">
        <is>
          <t>https://www.ligo.com.ph/products/</t>
        </is>
      </c>
      <c r="L727" s="0" t="inlineStr">
        <is>
          <t>IMG_7098.HEIC</t>
        </is>
      </c>
    </row>
    <row r="728">
      <c r="A728" s="0" t="n">
        <v>723</v>
      </c>
      <c r="B728" s="6" t="inlineStr">
        <is>
          <t>Unknown</t>
        </is>
      </c>
      <c r="C728" s="6" t="inlineStr">
        <is>
          <t>Unknown canned luncheon meat/pâté</t>
        </is>
      </c>
      <c r="D728" s="0" t="n">
        <v>24</v>
      </c>
      <c r="E728" s="7" t="inlineStr">
        <is>
          <t>Groceries</t>
        </is>
      </c>
      <c r="F728" s="7" t="inlineStr">
        <is>
          <t>Canned Goods</t>
        </is>
      </c>
      <c r="G728" s="0" t="inlineStr">
        <is>
          <t>Unknown</t>
        </is>
      </c>
      <c r="H728" s="0" t="n"/>
      <c r="I728" s="7">
        <f>IF(H728="","",VALUE(LEFT(H728,FIND("/",H728)-1))/VALUE(MID(H728,FIND("/",H728)+1,99)))</f>
        <v/>
      </c>
      <c r="J728" s="0" t="inlineStr">
        <is>
          <t>Lower-right; label unreadable.</t>
        </is>
      </c>
      <c r="K728" s="0" t="str"/>
      <c r="L728" s="0" t="inlineStr">
        <is>
          <t>IMG_7098.HEIC</t>
        </is>
      </c>
    </row>
    <row r="729">
      <c r="A729" s="0" t="n">
        <v>724</v>
      </c>
      <c r="B729" s="6" t="inlineStr">
        <is>
          <t>Unknown</t>
        </is>
      </c>
      <c r="C729" s="6" t="inlineStr">
        <is>
          <t>Unknown canned meat/fish, blue variant</t>
        </is>
      </c>
      <c r="D729" s="0" t="n">
        <v>30</v>
      </c>
      <c r="E729" s="7" t="inlineStr">
        <is>
          <t>Groceries</t>
        </is>
      </c>
      <c r="F729" s="7" t="inlineStr">
        <is>
          <t>Canned Goods</t>
        </is>
      </c>
      <c r="G729" s="0" t="inlineStr">
        <is>
          <t>Unknown</t>
        </is>
      </c>
      <c r="H729" s="0" t="n"/>
      <c r="I729" s="7">
        <f>IF(H729="","",VALUE(LEFT(H729,FIND("/",H729)-1))/VALUE(MID(H729,FIND("/",H729)+1,99)))</f>
        <v/>
      </c>
      <c r="J729" s="0" t="inlineStr">
        <is>
          <t>Bottom-left; label unreadable.</t>
        </is>
      </c>
      <c r="K729" s="0" t="str"/>
      <c r="L729" s="0" t="inlineStr">
        <is>
          <t>IMG_7098.HEIC</t>
        </is>
      </c>
    </row>
    <row r="730">
      <c r="A730" s="0" t="n">
        <v>725</v>
      </c>
      <c r="B730" s="6" t="inlineStr">
        <is>
          <t>Walch</t>
        </is>
      </c>
      <c r="C730" s="6" t="inlineStr">
        <is>
          <t>Walch tissue/toilet-paper multipack</t>
        </is>
      </c>
      <c r="D730" s="0" t="n"/>
      <c r="E730" s="7" t="inlineStr">
        <is>
          <t>Groceries</t>
        </is>
      </c>
      <c r="F730" s="7" t="inlineStr">
        <is>
          <t>Household</t>
        </is>
      </c>
      <c r="G730" s="0" t="inlineStr">
        <is>
          <t>6 packs</t>
        </is>
      </c>
      <c r="H730" s="0" t="n"/>
      <c r="I730" s="7">
        <f>IF(H730="","",VALUE(LEFT(H730,FIND("/",H730)-1))/VALUE(MID(H730,FIND("/",H730)+1,99)))</f>
        <v/>
      </c>
      <c r="J730" s="0" t="inlineStr">
        <is>
          <t>Package visibly reads Walch; pack count appears 6; price obscured.</t>
        </is>
      </c>
      <c r="K730" s="0" t="inlineStr">
        <is>
          <t>https://www.walch.com.hk/</t>
        </is>
      </c>
      <c r="L730" s="0" t="inlineStr">
        <is>
          <t>IMG_7099.HEIC</t>
        </is>
      </c>
    </row>
    <row r="731">
      <c r="A731" s="0" t="n">
        <v>726</v>
      </c>
      <c r="B731" s="6" t="inlineStr">
        <is>
          <t>Dettol</t>
        </is>
      </c>
      <c r="C731" s="6" t="inlineStr">
        <is>
          <t>Dettol liquid hand wash, green variant</t>
        </is>
      </c>
      <c r="D731" s="0" t="n"/>
      <c r="E731" s="7" t="inlineStr">
        <is>
          <t>Groceries</t>
        </is>
      </c>
      <c r="F731" s="7" t="inlineStr">
        <is>
          <t>Toiletries</t>
        </is>
      </c>
      <c r="G731" s="0" t="inlineStr">
        <is>
          <t>Unknown</t>
        </is>
      </c>
      <c r="H731" s="0" t="n"/>
      <c r="I731" s="7">
        <f>IF(H731="","",VALUE(LEFT(H731,FIND("/",H731)-1))/VALUE(MID(H731,FIND("/",H731)+1,99)))</f>
        <v/>
      </c>
      <c r="J731" s="0" t="inlineStr">
        <is>
          <t>Brand visible; exact variant/size/price unreadable.</t>
        </is>
      </c>
      <c r="K731" s="0" t="inlineStr">
        <is>
          <t>https://www.dettol.com/products/hand-wash/</t>
        </is>
      </c>
      <c r="L731" s="0" t="inlineStr">
        <is>
          <t>IMG_7099.HEIC</t>
        </is>
      </c>
    </row>
    <row r="732">
      <c r="A732" s="0" t="n">
        <v>727</v>
      </c>
      <c r="B732" s="6" t="inlineStr">
        <is>
          <t>Unknown</t>
        </is>
      </c>
      <c r="C732" s="6" t="inlineStr">
        <is>
          <t>Unknown purple floral liquid hand wash</t>
        </is>
      </c>
      <c r="D732" s="0" t="n"/>
      <c r="E732" s="7" t="inlineStr">
        <is>
          <t>Groceries</t>
        </is>
      </c>
      <c r="F732" s="7" t="inlineStr">
        <is>
          <t>Toiletries</t>
        </is>
      </c>
      <c r="G732" s="0" t="inlineStr">
        <is>
          <t>Unknown</t>
        </is>
      </c>
      <c r="H732" s="0" t="n"/>
      <c r="I732" s="7">
        <f>IF(H732="","",VALUE(LEFT(H732,FIND("/",H732)-1))/VALUE(MID(H732,FIND("/",H732)+1,99)))</f>
        <v/>
      </c>
      <c r="J732" s="0" t="inlineStr">
        <is>
          <t>Brand/name/price unreadable.</t>
        </is>
      </c>
      <c r="K732" s="0" t="str"/>
      <c r="L732" s="0" t="inlineStr">
        <is>
          <t>IMG_7099.HEIC</t>
        </is>
      </c>
    </row>
    <row r="733">
      <c r="A733" s="0" t="n">
        <v>728</v>
      </c>
      <c r="B733" s="6" t="inlineStr">
        <is>
          <t>Unknown</t>
        </is>
      </c>
      <c r="C733" s="6" t="inlineStr">
        <is>
          <t>Unknown pink/blue sanitary product multipack</t>
        </is>
      </c>
      <c r="D733" s="0" t="n"/>
      <c r="E733" s="7" t="inlineStr">
        <is>
          <t>Groceries</t>
        </is>
      </c>
      <c r="F733" s="7" t="inlineStr">
        <is>
          <t>Toiletries</t>
        </is>
      </c>
      <c r="G733" s="0" t="inlineStr">
        <is>
          <t>Unknown</t>
        </is>
      </c>
      <c r="H733" s="0" t="n"/>
      <c r="I733" s="7">
        <f>IF(H733="","",VALUE(LEFT(H733,FIND("/",H733)-1))/VALUE(MID(H733,FIND("/",H733)+1,99)))</f>
        <v/>
      </c>
      <c r="J733" s="0" t="inlineStr">
        <is>
          <t>Brand, pack count and price unreadable.</t>
        </is>
      </c>
      <c r="K733" s="0" t="str"/>
      <c r="L733" s="0" t="inlineStr">
        <is>
          <t>IMG_7099.HEIC</t>
        </is>
      </c>
    </row>
    <row r="734">
      <c r="A734" s="0" t="n">
        <v>729</v>
      </c>
      <c r="B734" s="6" t="inlineStr">
        <is>
          <t>Dove</t>
        </is>
      </c>
      <c r="C734" s="6" t="inlineStr">
        <is>
          <t>Dove body wash/refill multipack</t>
        </is>
      </c>
      <c r="D734" s="0" t="n"/>
      <c r="E734" s="7" t="inlineStr">
        <is>
          <t>Groceries</t>
        </is>
      </c>
      <c r="F734" s="7" t="inlineStr">
        <is>
          <t>Toiletries</t>
        </is>
      </c>
      <c r="G734" s="0" t="inlineStr">
        <is>
          <t>24 pack</t>
        </is>
      </c>
      <c r="H734" s="0" t="n"/>
      <c r="I734" s="7">
        <f>IF(H734="","",VALUE(LEFT(H734,FIND("/",H734)-1))/VALUE(MID(H734,FIND("/",H734)+1,99)))</f>
        <v/>
      </c>
      <c r="J734" s="0" t="inlineStr">
        <is>
          <t>Dove branding and 24 marking visible; exact SKU/price unreadable.</t>
        </is>
      </c>
      <c r="K734" s="0" t="inlineStr">
        <is>
          <t>https://www.dove.com/us/en/washing-and-bathing/body-wash.html</t>
        </is>
      </c>
      <c r="L734" s="0" t="inlineStr">
        <is>
          <t>IMG_7099.HEIC</t>
        </is>
      </c>
    </row>
    <row r="735">
      <c r="A735" s="0" t="n">
        <v>730</v>
      </c>
      <c r="B735" s="6" t="inlineStr">
        <is>
          <t>Unknown</t>
        </is>
      </c>
      <c r="C735" s="6" t="inlineStr">
        <is>
          <t>Unknown pink bottled personal-care product</t>
        </is>
      </c>
      <c r="D735" s="0" t="n"/>
      <c r="E735" s="7" t="inlineStr">
        <is>
          <t>Groceries</t>
        </is>
      </c>
      <c r="F735" s="7" t="inlineStr">
        <is>
          <t>Toiletries</t>
        </is>
      </c>
      <c r="G735" s="0" t="inlineStr">
        <is>
          <t>Unknown</t>
        </is>
      </c>
      <c r="H735" s="0" t="n"/>
      <c r="I735" s="7">
        <f>IF(H735="","",VALUE(LEFT(H735,FIND("/",H735)-1))/VALUE(MID(H735,FIND("/",H735)+1,99)))</f>
        <v/>
      </c>
      <c r="J735" s="0" t="inlineStr">
        <is>
          <t>Brand/name/price unreadable.</t>
        </is>
      </c>
      <c r="K735" s="0" t="str"/>
      <c r="L735" s="0" t="inlineStr">
        <is>
          <t>IMG_7099.HEIC</t>
        </is>
      </c>
    </row>
    <row r="736">
      <c r="A736" s="0" t="n">
        <v>731</v>
      </c>
      <c r="B736" s="6" t="inlineStr">
        <is>
          <t>ecostore</t>
        </is>
      </c>
      <c r="C736" s="6" t="inlineStr">
        <is>
          <t>ecostore liquid hand wash/body wash</t>
        </is>
      </c>
      <c r="D736" s="0" t="n">
        <v>140</v>
      </c>
      <c r="E736" s="7" t="inlineStr">
        <is>
          <t>Groceries</t>
        </is>
      </c>
      <c r="F736" s="7" t="inlineStr">
        <is>
          <t>Toiletries</t>
        </is>
      </c>
      <c r="G736" s="0" t="inlineStr">
        <is>
          <t>Unknown</t>
        </is>
      </c>
      <c r="H736" s="0" t="n"/>
      <c r="I736" s="7">
        <f>IF(H736="","",VALUE(LEFT(H736,FIND("/",H736)-1))/VALUE(MID(H736,FIND("/",H736)+1,99)))</f>
        <v/>
      </c>
      <c r="J736" s="0" t="inlineStr">
        <is>
          <t>Brand visible; exact variant/size unclear; shelf price appears 140.</t>
        </is>
      </c>
      <c r="K736" s="0" t="inlineStr">
        <is>
          <t>https://ecostore.com/nz/body/hand-wash/</t>
        </is>
      </c>
      <c r="L736" s="0" t="inlineStr">
        <is>
          <t>IMG_7099.HEIC</t>
        </is>
      </c>
    </row>
    <row r="737">
      <c r="A737" s="0" t="n">
        <v>732</v>
      </c>
      <c r="B737" s="6" t="inlineStr">
        <is>
          <t>Dove</t>
        </is>
      </c>
      <c r="C737" s="6" t="inlineStr">
        <is>
          <t>Dove pink personal-care multipack</t>
        </is>
      </c>
      <c r="D737" s="0" t="n"/>
      <c r="E737" s="7" t="inlineStr">
        <is>
          <t>Groceries</t>
        </is>
      </c>
      <c r="F737" s="7" t="inlineStr">
        <is>
          <t>Toiletries</t>
        </is>
      </c>
      <c r="G737" s="0" t="inlineStr">
        <is>
          <t>Unknown</t>
        </is>
      </c>
      <c r="H737" s="0" t="n"/>
      <c r="I737" s="7">
        <f>IF(H737="","",VALUE(LEFT(H737,FIND("/",H737)-1))/VALUE(MID(H737,FIND("/",H737)+1,99)))</f>
        <v/>
      </c>
      <c r="J737" s="0" t="inlineStr">
        <is>
          <t>Brand visible; exact contents, size and price unreadable.</t>
        </is>
      </c>
      <c r="K737" s="0" t="inlineStr">
        <is>
          <t>https://www.dove.com/us/en/washing-and-bathing.html</t>
        </is>
      </c>
      <c r="L737" s="0" t="inlineStr">
        <is>
          <t>IMG_7099.HEIC</t>
        </is>
      </c>
    </row>
    <row r="738">
      <c r="A738" s="0" t="n">
        <v>733</v>
      </c>
      <c r="B738" s="6" t="inlineStr">
        <is>
          <t>Unknown</t>
        </is>
      </c>
      <c r="C738" s="6" t="inlineStr">
        <is>
          <t>Unknown assorted pump-bottle personal-care product</t>
        </is>
      </c>
      <c r="D738" s="0" t="n"/>
      <c r="E738" s="7" t="inlineStr">
        <is>
          <t>Groceries</t>
        </is>
      </c>
      <c r="F738" s="7" t="inlineStr">
        <is>
          <t>Toiletries</t>
        </is>
      </c>
      <c r="G738" s="0" t="inlineStr">
        <is>
          <t>Unknown</t>
        </is>
      </c>
      <c r="H738" s="0" t="n"/>
      <c r="I738" s="7">
        <f>IF(H738="","",VALUE(LEFT(H738,FIND("/",H738)-1))/VALUE(MID(H738,FIND("/",H738)+1,99)))</f>
        <v/>
      </c>
      <c r="J738" s="0" t="inlineStr">
        <is>
          <t>Lower shelf; brand/name/price unreadable.</t>
        </is>
      </c>
      <c r="K738" s="0" t="str"/>
      <c r="L738" s="0" t="inlineStr">
        <is>
          <t>IMG_7099.HEIC</t>
        </is>
      </c>
    </row>
    <row r="739">
      <c r="A739" s="0" t="n">
        <v>734</v>
      </c>
      <c r="B739" s="6" t="inlineStr">
        <is>
          <t>Unknown</t>
        </is>
      </c>
      <c r="C739" s="6" t="inlineStr">
        <is>
          <t>Unknown household detergent/cleaner refill pouch</t>
        </is>
      </c>
      <c r="D739" s="0" t="n"/>
      <c r="E739" s="7" t="inlineStr">
        <is>
          <t>Groceries</t>
        </is>
      </c>
      <c r="F739" s="7" t="inlineStr">
        <is>
          <t>Cleaning Supplies</t>
        </is>
      </c>
      <c r="G739" s="0" t="inlineStr">
        <is>
          <t>Unknown</t>
        </is>
      </c>
      <c r="H739" s="0" t="n"/>
      <c r="I739" s="7">
        <f>IF(H739="","",VALUE(LEFT(H739,FIND("/",H739)-1))/VALUE(MID(H739,FIND("/",H739)+1,99)))</f>
        <v/>
      </c>
      <c r="J739" s="0" t="inlineStr">
        <is>
          <t>Bottom shelf; labels/price unreadable.</t>
        </is>
      </c>
      <c r="K739" s="0" t="str"/>
      <c r="L739" s="0" t="inlineStr">
        <is>
          <t>IMG_7099.HEIC</t>
        </is>
      </c>
    </row>
    <row r="740">
      <c r="A740" t="n">
        <v>735</v>
      </c>
      <c r="B740" s="6" t="inlineStr">
        <is>
          <t>Barilla</t>
        </is>
      </c>
      <c r="C740" s="6" t="inlineStr">
        <is>
          <t>Barilla Pesto alla Genovese</t>
        </is>
      </c>
      <c r="D740" t="n">
        <v>39.5</v>
      </c>
      <c r="E740" s="7" t="inlineStr">
        <is>
          <t>Groceries</t>
        </is>
      </c>
      <c r="F740" s="7" t="inlineStr">
        <is>
          <t>Sauces</t>
        </is>
      </c>
      <c r="G740" t="inlineStr">
        <is>
          <t>190G</t>
        </is>
      </c>
      <c r="I740" s="7">
        <f>IF(H740="","",VALUE(LEFT(H740,FIND("/",H740)-1))/VALUE(MID(H740,FIND("/",H740)+1,99)))</f>
        <v/>
      </c>
      <c r="J740" t="inlineStr">
        <is>
          <t>Shelf price tag reads $39.5 for the 190g jar.</t>
        </is>
      </c>
      <c r="L740" t="inlineStr">
        <is>
          <t>IMG_7184.HEIC</t>
        </is>
      </c>
    </row>
    <row r="741">
      <c r="A741" t="n">
        <v>736</v>
      </c>
      <c r="B741" s="6" t="inlineStr">
        <is>
          <t>Select</t>
        </is>
      </c>
      <c r="C741" s="6" t="inlineStr">
        <is>
          <t>Select Aust Chilled Minced Beef</t>
        </is>
      </c>
      <c r="D741" t="n">
        <v>41.9</v>
      </c>
      <c r="E741" s="7" t="inlineStr">
        <is>
          <t>Fresh Food</t>
        </is>
      </c>
      <c r="F741" s="7" t="inlineStr">
        <is>
          <t>Meat</t>
        </is>
      </c>
      <c r="G741" t="inlineStr">
        <is>
          <t>177G</t>
        </is>
      </c>
      <c r="I741" s="7">
        <f>IF(H741="","",VALUE(LEFT(H741,FIND("/",H741)-1))/VALUE(MID(H741,FIND("/",H741)+1,99)))</f>
        <v/>
      </c>
      <c r="J741" t="inlineStr">
        <is>
          <t>Net wt 177g; total price $41.90 printed on pack label.</t>
        </is>
      </c>
      <c r="L741" t="inlineStr">
        <is>
          <t>IMG_7185.HEIC</t>
        </is>
      </c>
    </row>
    <row r="742">
      <c r="A742" t="n">
        <v>737</v>
      </c>
      <c r="B742" s="6" t="inlineStr">
        <is>
          <t>Select</t>
        </is>
      </c>
      <c r="C742" s="6" t="inlineStr">
        <is>
          <t>Select Aust Chilled Lean Beef</t>
        </is>
      </c>
      <c r="D742" t="n">
        <v>41.9</v>
      </c>
      <c r="E742" s="7" t="inlineStr">
        <is>
          <t>Fresh Food</t>
        </is>
      </c>
      <c r="F742" s="7" t="inlineStr">
        <is>
          <t>Meat</t>
        </is>
      </c>
      <c r="G742" t="inlineStr">
        <is>
          <t>181G</t>
        </is>
      </c>
      <c r="I742" s="7">
        <f>IF(H742="","",VALUE(LEFT(H742,FIND("/",H742)-1))/VALUE(MID(H742,FIND("/",H742)+1,99)))</f>
        <v/>
      </c>
      <c r="J742" t="inlineStr">
        <is>
          <t>Net wt 181g; total price $41.90 printed on pack label.</t>
        </is>
      </c>
      <c r="L742" t="inlineStr">
        <is>
          <t>IMG_7185.HEIC</t>
        </is>
      </c>
    </row>
    <row r="743">
      <c r="A743" t="n">
        <v>738</v>
      </c>
      <c r="B743" s="6" t="inlineStr">
        <is>
          <t>Morliny</t>
        </is>
      </c>
      <c r="C743" s="6" t="inlineStr">
        <is>
          <t>Morliny Smoked Bacon</t>
        </is>
      </c>
      <c r="E743" s="7" t="inlineStr">
        <is>
          <t>Fresh Food</t>
        </is>
      </c>
      <c r="F743" s="7" t="inlineStr">
        <is>
          <t>Meat</t>
        </is>
      </c>
      <c r="G743" t="inlineStr">
        <is>
          <t>Unknown</t>
        </is>
      </c>
      <c r="I743" s="7">
        <f>IF(H743="","",VALUE(LEFT(H743,FIND("/",H743)-1))/VALUE(MID(H743,FIND("/",H743)+1,99)))</f>
        <v/>
      </c>
      <c r="J743" t="inlineStr">
        <is>
          <t>Price and weight not visible in photo; package held in hand, no shelf tag in frame.</t>
        </is>
      </c>
      <c r="L743" t="inlineStr">
        <is>
          <t>IMG_7186.HEIC</t>
        </is>
      </c>
    </row>
    <row r="744">
      <c r="A744" t="n">
        <v>739</v>
      </c>
      <c r="B744" s="6" t="inlineStr">
        <is>
          <t>Samlip</t>
        </is>
      </c>
      <c r="C744" s="6" t="inlineStr">
        <is>
          <t>Samlip Sausage Basil</t>
        </is>
      </c>
      <c r="E744" s="7" t="inlineStr">
        <is>
          <t>Fresh Food</t>
        </is>
      </c>
      <c r="F744" s="7" t="inlineStr">
        <is>
          <t>Meat</t>
        </is>
      </c>
      <c r="G744" t="inlineStr">
        <is>
          <t>350G</t>
        </is>
      </c>
      <c r="I744" s="7">
        <f>IF(H744="","",VALUE(LEFT(H744,FIND("/",H744)-1))/VALUE(MID(H744,FIND("/",H744)+1,99)))</f>
        <v/>
      </c>
      <c r="J744" t="inlineStr">
        <is>
          <t>Weight printed on pack (350g); price tag not visible in photo.</t>
        </is>
      </c>
      <c r="K744" t="inlineStr">
        <is>
          <t>https://www.pns.hk/en/all-brands/b/130311/samlip</t>
        </is>
      </c>
      <c r="L744" t="inlineStr">
        <is>
          <t>IMG_7187.HEIC</t>
        </is>
      </c>
    </row>
    <row r="745">
      <c r="A745" t="n">
        <v>740</v>
      </c>
      <c r="B745" s="6" t="inlineStr">
        <is>
          <t>Select</t>
        </is>
      </c>
      <c r="C745" s="6" t="inlineStr">
        <is>
          <t>Select Chicken with Dried Abalone (Brazil)</t>
        </is>
      </c>
      <c r="D745" t="n">
        <v>38.9</v>
      </c>
      <c r="E745" s="7" t="inlineStr">
        <is>
          <t>Fresh Food</t>
        </is>
      </c>
      <c r="F745" s="7" t="inlineStr">
        <is>
          <t>Frozen Meat</t>
        </is>
      </c>
      <c r="G745" t="inlineStr">
        <is>
          <t>1.13KG</t>
        </is>
      </c>
      <c r="I745" s="7">
        <f>IF(H745="","",VALUE(LEFT(H745,FIND("/",H745)-1))/VALUE(MID(H745,FIND("/",H745)+1,99)))</f>
        <v/>
      </c>
      <c r="J745" t="inlineStr">
        <is>
          <t>Net wt 1.130kg per shelf label; total price $38.90.</t>
        </is>
      </c>
      <c r="L745" t="inlineStr">
        <is>
          <t>IMG_7189.HEIC</t>
        </is>
      </c>
    </row>
    <row r="746">
      <c r="A746" t="n">
        <v>741</v>
      </c>
      <c r="B746" s="6" t="inlineStr">
        <is>
          <t>Select</t>
        </is>
      </c>
      <c r="C746" s="6" t="inlineStr">
        <is>
          <t>Select chicken breast fillets</t>
        </is>
      </c>
      <c r="D746" t="n">
        <v>36.9</v>
      </c>
      <c r="E746" s="7" t="inlineStr">
        <is>
          <t>Fresh Food</t>
        </is>
      </c>
      <c r="F746" s="7" t="inlineStr">
        <is>
          <t>Meat</t>
        </is>
      </c>
      <c r="G746" t="inlineStr">
        <is>
          <t>Unknown</t>
        </is>
      </c>
      <c r="I746" s="7">
        <f>IF(H746="","",VALUE(LEFT(H746,FIND("/",H746)-1))/VALUE(MID(H746,FIND("/",H746)+1,99)))</f>
        <v/>
      </c>
      <c r="J746" t="inlineStr">
        <is>
          <t>Second tray from left; shelf tag price approximately $36.90; exact weight unreadable.</t>
        </is>
      </c>
      <c r="L746" t="inlineStr">
        <is>
          <t>IMG_7189.HEIC</t>
        </is>
      </c>
    </row>
    <row r="747">
      <c r="A747" t="n">
        <v>742</v>
      </c>
      <c r="B747" s="6" t="inlineStr">
        <is>
          <t>Select</t>
        </is>
      </c>
      <c r="C747" s="6" t="inlineStr">
        <is>
          <t>Select chicken thigh pieces (diced)</t>
        </is>
      </c>
      <c r="D747" t="n">
        <v>36.9</v>
      </c>
      <c r="E747" s="7" t="inlineStr">
        <is>
          <t>Fresh Food</t>
        </is>
      </c>
      <c r="F747" s="7" t="inlineStr">
        <is>
          <t>Meat</t>
        </is>
      </c>
      <c r="G747" t="inlineStr">
        <is>
          <t>Unknown</t>
        </is>
      </c>
      <c r="I747" s="7">
        <f>IF(H747="","",VALUE(LEFT(H747,FIND("/",H747)-1))/VALUE(MID(H747,FIND("/",H747)+1,99)))</f>
        <v/>
      </c>
      <c r="J747" t="inlineStr">
        <is>
          <t>Third tray; shelf tag price approximately $36.90; exact weight unreadable.</t>
        </is>
      </c>
      <c r="L747" t="inlineStr">
        <is>
          <t>IMG_7189.HEIC</t>
        </is>
      </c>
    </row>
    <row r="748">
      <c r="A748" t="n">
        <v>743</v>
      </c>
      <c r="B748" s="6" t="inlineStr">
        <is>
          <t>Select</t>
        </is>
      </c>
      <c r="C748" s="6" t="inlineStr">
        <is>
          <t>Select chicken dark meat/wing pieces</t>
        </is>
      </c>
      <c r="D748" t="n">
        <v>28.9</v>
      </c>
      <c r="E748" s="7" t="inlineStr">
        <is>
          <t>Fresh Food</t>
        </is>
      </c>
      <c r="F748" s="7" t="inlineStr">
        <is>
          <t>Meat</t>
        </is>
      </c>
      <c r="G748" t="inlineStr">
        <is>
          <t>Unknown</t>
        </is>
      </c>
      <c r="I748" s="7">
        <f>IF(H748="","",VALUE(LEFT(H748,FIND("/",H748)-1))/VALUE(MID(H748,FIND("/",H748)+1,99)))</f>
        <v/>
      </c>
      <c r="J748" t="inlineStr">
        <is>
          <t>Fourth tray (rightmost); shelf tag price approximately $28.90; exact weight unreadable.</t>
        </is>
      </c>
      <c r="L748" t="inlineStr">
        <is>
          <t>IMG_7189.HEIC</t>
        </is>
      </c>
    </row>
    <row r="749">
      <c r="A749" t="n">
        <v>744</v>
      </c>
      <c r="B749" s="6" t="inlineStr">
        <is>
          <t>ang</t>
        </is>
      </c>
      <c r="C749" s="6" t="inlineStr">
        <is>
          <t>ang Australian Striploin Steak</t>
        </is>
      </c>
      <c r="D749" t="n">
        <v>42</v>
      </c>
      <c r="E749" s="7" t="inlineStr">
        <is>
          <t>Fresh Food</t>
        </is>
      </c>
      <c r="F749" s="7" t="inlineStr">
        <is>
          <t>Meat</t>
        </is>
      </c>
      <c r="G749" t="inlineStr">
        <is>
          <t>230G</t>
        </is>
      </c>
      <c r="I749" s="7">
        <f>IF(H749="","",VALUE(LEFT(H749,FIND("/",H749)-1))/VALUE(MID(H749,FIND("/",H749)+1,99)))</f>
        <v/>
      </c>
      <c r="J749" t="inlineStr">
        <is>
          <t>Weight printed on pack label (230g); shelf tag shows $42.0. Also photographed in IMG_7191.HEIC.</t>
        </is>
      </c>
      <c r="L749" t="inlineStr">
        <is>
          <t>IMG_7190.HEIC</t>
        </is>
      </c>
    </row>
    <row r="750">
      <c r="A750" t="n">
        <v>745</v>
      </c>
      <c r="B750" s="6" t="inlineStr">
        <is>
          <t>Ho e Sik</t>
        </is>
      </c>
      <c r="C750" s="6" t="inlineStr">
        <is>
          <t>Ho e Sik Spaghetti of Clams in White Wine Sauce</t>
        </is>
      </c>
      <c r="E750" s="7" t="inlineStr">
        <is>
          <t>Fresh Food</t>
        </is>
      </c>
      <c r="F750" s="7" t="inlineStr">
        <is>
          <t>Seafood</t>
        </is>
      </c>
      <c r="G750" t="inlineStr">
        <is>
          <t>280G</t>
        </is>
      </c>
      <c r="I750" s="7">
        <f>IF(H750="","",VALUE(LEFT(H750,FIND("/",H750)-1))/VALUE(MID(H750,FIND("/",H750)+1,99)))</f>
        <v/>
      </c>
      <c r="J750" t="inlineStr">
        <is>
          <t>Hong Kong-made frozen ready meal; weight printed on pack (280g); price tag not clearly linked in photo.</t>
        </is>
      </c>
      <c r="L750" t="inlineStr">
        <is>
          <t>IMG_7192.HEIC</t>
        </is>
      </c>
    </row>
    <row r="751">
      <c r="A751" t="n">
        <v>746</v>
      </c>
      <c r="B751" s="6" t="inlineStr">
        <is>
          <t>Ho e Sik</t>
        </is>
      </c>
      <c r="C751" s="6" t="inlineStr">
        <is>
          <t>Ho e Sik Spaghetti with Meat in Tomato Sauce</t>
        </is>
      </c>
      <c r="E751" s="7" t="inlineStr">
        <is>
          <t>Fresh Food</t>
        </is>
      </c>
      <c r="F751" s="7" t="inlineStr">
        <is>
          <t>Meat</t>
        </is>
      </c>
      <c r="G751" t="inlineStr">
        <is>
          <t>285G</t>
        </is>
      </c>
      <c r="I751" s="7">
        <f>IF(H751="","",VALUE(LEFT(H751,FIND("/",H751)-1))/VALUE(MID(H751,FIND("/",H751)+1,99)))</f>
        <v/>
      </c>
      <c r="J751" t="inlineStr">
        <is>
          <t>Hong Kong-made frozen ready meal; weight printed on pack (285g); price tag not clearly linked in photo.</t>
        </is>
      </c>
      <c r="L751" t="inlineStr">
        <is>
          <t>IMG_7193.HEIC</t>
        </is>
      </c>
    </row>
    <row r="752">
      <c r="A752" t="n">
        <v>747</v>
      </c>
      <c r="B752" s="6" t="inlineStr">
        <is>
          <t>Meat Zero</t>
        </is>
      </c>
      <c r="C752" s="6" t="inlineStr">
        <is>
          <t>Meat Zero Plant-Based Minced Meat</t>
        </is>
      </c>
      <c r="D752" t="n">
        <v>35</v>
      </c>
      <c r="E752" s="7" t="inlineStr">
        <is>
          <t>Fresh Food</t>
        </is>
      </c>
      <c r="F752" s="7" t="inlineStr">
        <is>
          <t>Frozen Meat</t>
        </is>
      </c>
      <c r="G752" t="inlineStr">
        <is>
          <t>220G</t>
        </is>
      </c>
      <c r="I752" s="7">
        <f>IF(H752="","",VALUE(LEFT(H752,FIND("/",H752)-1))/VALUE(MID(H752,FIND("/",H752)+1,99)))</f>
        <v/>
      </c>
      <c r="J752" t="inlineStr">
        <is>
          <t>OP $65.9, discounted to $35.0 per shelf tag.</t>
        </is>
      </c>
      <c r="L752" t="inlineStr">
        <is>
          <t>IMG_7194.HEIC</t>
        </is>
      </c>
    </row>
    <row r="753">
      <c r="A753" t="n">
        <v>748</v>
      </c>
      <c r="B753" s="6" t="inlineStr">
        <is>
          <t>Select</t>
        </is>
      </c>
      <c r="C753" s="6" t="inlineStr">
        <is>
          <t>Select Pork Patties</t>
        </is>
      </c>
      <c r="D753" t="n">
        <v>35</v>
      </c>
      <c r="E753" s="7" t="inlineStr">
        <is>
          <t>Fresh Food</t>
        </is>
      </c>
      <c r="F753" s="7" t="inlineStr">
        <is>
          <t>Frozen Meat</t>
        </is>
      </c>
      <c r="G753" t="inlineStr">
        <is>
          <t>Unknown</t>
        </is>
      </c>
      <c r="I753" s="7">
        <f>IF(H753="","",VALUE(LEFT(H753,FIND("/",H753)-1))/VALUE(MID(H753,FIND("/",H753)+1,99)))</f>
        <v/>
      </c>
      <c r="J753" t="inlineStr">
        <is>
          <t>OP $66.9, discounted to $35.0 per shelf tag; pack contains 4 patties, exact weight unreadable.</t>
        </is>
      </c>
      <c r="L753" t="inlineStr">
        <is>
          <t>IMG_7195.HEIC</t>
        </is>
      </c>
    </row>
    <row r="754">
      <c r="A754" t="n">
        <v>749</v>
      </c>
      <c r="B754" s="6" t="inlineStr">
        <is>
          <t>Unknown</t>
        </is>
      </c>
      <c r="C754" s="6" t="inlineStr">
        <is>
          <t>Frozen Peeled Whiteleg Shrimp Meat</t>
        </is>
      </c>
      <c r="D754" t="n">
        <v>52.9</v>
      </c>
      <c r="E754" s="7" t="inlineStr">
        <is>
          <t>Fresh Food</t>
        </is>
      </c>
      <c r="F754" s="7" t="inlineStr">
        <is>
          <t>Seafood</t>
        </is>
      </c>
      <c r="G754" t="inlineStr">
        <is>
          <t>Unknown</t>
        </is>
      </c>
      <c r="H754" t="inlineStr">
        <is>
          <t>30.0/2</t>
        </is>
      </c>
      <c r="I754" s="7">
        <f>IF(H754="","",VALUE(LEFT(H754,FIND("/",H754)-1))/VALUE(MID(H754,FIND("/",H754)+1,99)))</f>
        <v/>
      </c>
      <c r="J754" t="inlineStr">
        <is>
          <t>Shelf tag shows $52.9 alongside a possible $30.0/2 multi-buy tag; exact weight not printed in visible area.</t>
        </is>
      </c>
      <c r="L754" t="inlineStr">
        <is>
          <t>IMG_7196.HEIC</t>
        </is>
      </c>
    </row>
    <row r="755">
      <c r="A755" t="n">
        <v>750</v>
      </c>
      <c r="B755" s="6" t="inlineStr">
        <is>
          <t>Select</t>
        </is>
      </c>
      <c r="C755" s="6" t="inlineStr">
        <is>
          <t>Select Frozen Skin-On Atlantic Salmon Fillets (2pcs)</t>
        </is>
      </c>
      <c r="D755" t="n">
        <v>62.9</v>
      </c>
      <c r="E755" s="7" t="inlineStr">
        <is>
          <t>Fresh Food</t>
        </is>
      </c>
      <c r="F755" s="7" t="inlineStr">
        <is>
          <t>Seafood</t>
        </is>
      </c>
      <c r="G755" t="inlineStr">
        <is>
          <t>260G</t>
        </is>
      </c>
      <c r="I755" s="7">
        <f>IF(H755="","",VALUE(LEFT(H755,FIND("/",H755)-1))/VALUE(MID(H755,FIND("/",H755)+1,99)))</f>
        <v/>
      </c>
      <c r="J755" t="inlineStr">
        <is>
          <t>Iceland origin, ASC certified; shelf tag shows $62.9 (nearby $28.0 Halal tag is for a different, unrelated product).</t>
        </is>
      </c>
      <c r="L755" t="inlineStr">
        <is>
          <t>IMG_7197.HEIC</t>
        </is>
      </c>
    </row>
    <row r="756">
      <c r="A756" t="n">
        <v>751</v>
      </c>
      <c r="B756" s="6" t="inlineStr">
        <is>
          <t>ang</t>
        </is>
      </c>
      <c r="C756" s="6" t="inlineStr">
        <is>
          <t>ang Australian Grain-Fed Angus Beef Patty (Southern Grain)</t>
        </is>
      </c>
      <c r="E756" s="7" t="inlineStr">
        <is>
          <t>Fresh Food</t>
        </is>
      </c>
      <c r="F756" s="7" t="inlineStr">
        <is>
          <t>Meat</t>
        </is>
      </c>
      <c r="G756" t="inlineStr">
        <is>
          <t>Unknown</t>
        </is>
      </c>
      <c r="I756" s="7">
        <f>IF(H756="","",VALUE(LEFT(H756,FIND("/",H756)-1))/VALUE(MID(H756,FIND("/",H756)+1,99)))</f>
        <v/>
      </c>
      <c r="J756" t="inlineStr">
        <is>
          <t>Price tag not clearly legible in photo; vacuum-sealed patty, weight not printed in visible area.</t>
        </is>
      </c>
      <c r="L756" t="inlineStr">
        <is>
          <t>IMG_7198.HEIC</t>
        </is>
      </c>
    </row>
    <row r="757">
      <c r="B757" s="6" t="n"/>
      <c r="C757" s="6" t="n"/>
      <c r="E757" s="7" t="n"/>
      <c r="F757" s="7" t="n"/>
      <c r="I757" s="7">
        <f>IF(H757="","",VALUE(LEFT(H757,FIND("/",H757)-1))/VALUE(MID(H757,FIND("/",H757)+1,99)))</f>
        <v/>
      </c>
    </row>
    <row r="758">
      <c r="B758" s="6" t="n"/>
      <c r="C758" s="6" t="n"/>
      <c r="E758" s="7" t="n"/>
      <c r="F758" s="7" t="n"/>
      <c r="I758" s="7">
        <f>IF(H758="","",VALUE(LEFT(H758,FIND("/",H758)-1))/VALUE(MID(H758,FIND("/",H758)+1,99)))</f>
        <v/>
      </c>
    </row>
    <row r="759">
      <c r="B759" s="6" t="n"/>
      <c r="C759" s="6" t="n"/>
      <c r="E759" s="7" t="n"/>
      <c r="F759" s="7" t="n"/>
      <c r="I759" s="7">
        <f>IF(H759="","",VALUE(LEFT(H759,FIND("/",H759)-1))/VALUE(MID(H759,FIND("/",H759)+1,99)))</f>
        <v/>
      </c>
    </row>
    <row r="760">
      <c r="B760" s="6" t="n"/>
      <c r="C760" s="6" t="n"/>
      <c r="E760" s="7" t="n"/>
      <c r="F760" s="7" t="n"/>
      <c r="I760" s="7">
        <f>IF(H760="","",VALUE(LEFT(H760,FIND("/",H760)-1))/VALUE(MID(H760,FIND("/",H760)+1,99)))</f>
        <v/>
      </c>
    </row>
    <row r="761">
      <c r="B761" s="6" t="n"/>
      <c r="C761" s="6" t="n"/>
      <c r="E761" s="7" t="n"/>
      <c r="F761" s="7" t="n"/>
      <c r="I761" s="7">
        <f>IF(H761="","",VALUE(LEFT(H761,FIND("/",H761)-1))/VALUE(MID(H761,FIND("/",H761)+1,99)))</f>
        <v/>
      </c>
    </row>
    <row r="762">
      <c r="B762" s="6" t="n"/>
      <c r="C762" s="6" t="n"/>
      <c r="E762" s="7" t="n"/>
      <c r="F762" s="7" t="n"/>
      <c r="I762" s="7">
        <f>IF(H762="","",VALUE(LEFT(H762,FIND("/",H762)-1))/VALUE(MID(H762,FIND("/",H762)+1,99)))</f>
        <v/>
      </c>
    </row>
    <row r="763">
      <c r="B763" s="6" t="n"/>
      <c r="C763" s="6" t="n"/>
      <c r="E763" s="7" t="n"/>
      <c r="F763" s="7" t="n"/>
      <c r="I763" s="7">
        <f>IF(H763="","",VALUE(LEFT(H763,FIND("/",H763)-1))/VALUE(MID(H763,FIND("/",H763)+1,99)))</f>
        <v/>
      </c>
    </row>
    <row r="764">
      <c r="B764" s="6" t="n"/>
      <c r="C764" s="6" t="n"/>
      <c r="E764" s="7" t="n"/>
      <c r="F764" s="7" t="n"/>
      <c r="I764" s="7">
        <f>IF(H764="","",VALUE(LEFT(H764,FIND("/",H764)-1))/VALUE(MID(H764,FIND("/",H764)+1,99)))</f>
        <v/>
      </c>
    </row>
    <row r="765">
      <c r="B765" s="6" t="n"/>
      <c r="C765" s="6" t="n"/>
      <c r="E765" s="7" t="n"/>
      <c r="F765" s="7" t="n"/>
      <c r="I765" s="7">
        <f>IF(H765="","",VALUE(LEFT(H765,FIND("/",H765)-1))/VALUE(MID(H765,FIND("/",H765)+1,99)))</f>
        <v/>
      </c>
    </row>
    <row r="766">
      <c r="B766" s="6" t="n"/>
      <c r="C766" s="6" t="n"/>
      <c r="E766" s="7" t="n"/>
      <c r="F766" s="7" t="n"/>
      <c r="I766" s="7">
        <f>IF(H766="","",VALUE(LEFT(H766,FIND("/",H766)-1))/VALUE(MID(H766,FIND("/",H766)+1,99)))</f>
        <v/>
      </c>
    </row>
    <row r="767">
      <c r="B767" s="6" t="n"/>
      <c r="C767" s="6" t="n"/>
      <c r="E767" s="7" t="n"/>
      <c r="F767" s="7" t="n"/>
      <c r="I767" s="7">
        <f>IF(H767="","",VALUE(LEFT(H767,FIND("/",H767)-1))/VALUE(MID(H767,FIND("/",H767)+1,99)))</f>
        <v/>
      </c>
    </row>
    <row r="768">
      <c r="B768" s="6" t="n"/>
      <c r="C768" s="6" t="n"/>
      <c r="E768" s="7" t="n"/>
      <c r="F768" s="7" t="n"/>
      <c r="I768" s="7">
        <f>IF(H768="","",VALUE(LEFT(H768,FIND("/",H768)-1))/VALUE(MID(H768,FIND("/",H768)+1,99)))</f>
        <v/>
      </c>
    </row>
    <row r="769">
      <c r="B769" s="6" t="n"/>
      <c r="C769" s="6" t="n"/>
      <c r="E769" s="7" t="n"/>
      <c r="F769" s="7" t="n"/>
      <c r="I769" s="7">
        <f>IF(H769="","",VALUE(LEFT(H769,FIND("/",H769)-1))/VALUE(MID(H769,FIND("/",H769)+1,99)))</f>
        <v/>
      </c>
    </row>
    <row r="770">
      <c r="B770" s="6" t="n"/>
      <c r="C770" s="6" t="n"/>
      <c r="E770" s="7" t="n"/>
      <c r="F770" s="7" t="n"/>
      <c r="I770" s="7">
        <f>IF(H770="","",VALUE(LEFT(H770,FIND("/",H770)-1))/VALUE(MID(H770,FIND("/",H770)+1,99)))</f>
        <v/>
      </c>
    </row>
    <row r="771">
      <c r="B771" s="6" t="n"/>
      <c r="C771" s="6" t="n"/>
      <c r="E771" s="7" t="n"/>
      <c r="F771" s="7" t="n"/>
      <c r="I771" s="7">
        <f>IF(H771="","",VALUE(LEFT(H771,FIND("/",H771)-1))/VALUE(MID(H771,FIND("/",H771)+1,99)))</f>
        <v/>
      </c>
    </row>
    <row r="772">
      <c r="B772" s="6" t="n"/>
      <c r="C772" s="6" t="n"/>
      <c r="E772" s="7" t="n"/>
      <c r="F772" s="7" t="n"/>
      <c r="I772" s="7">
        <f>IF(H772="","",VALUE(LEFT(H772,FIND("/",H772)-1))/VALUE(MID(H772,FIND("/",H772)+1,99)))</f>
        <v/>
      </c>
    </row>
    <row r="773">
      <c r="B773" s="6" t="n"/>
      <c r="C773" s="6" t="n"/>
      <c r="E773" s="7" t="n"/>
      <c r="F773" s="7" t="n"/>
      <c r="I773" s="7">
        <f>IF(H773="","",VALUE(LEFT(H773,FIND("/",H773)-1))/VALUE(MID(H773,FIND("/",H773)+1,99)))</f>
        <v/>
      </c>
    </row>
    <row r="774">
      <c r="B774" s="6" t="n"/>
      <c r="C774" s="6" t="n"/>
      <c r="E774" s="7" t="n"/>
      <c r="F774" s="7" t="n"/>
      <c r="I774" s="7">
        <f>IF(H774="","",VALUE(LEFT(H774,FIND("/",H774)-1))/VALUE(MID(H774,FIND("/",H774)+1,99)))</f>
        <v/>
      </c>
    </row>
    <row r="775">
      <c r="B775" s="6" t="n"/>
      <c r="C775" s="6" t="n"/>
      <c r="E775" s="7" t="n"/>
      <c r="F775" s="7" t="n"/>
      <c r="I775" s="7">
        <f>IF(H775="","",VALUE(LEFT(H775,FIND("/",H775)-1))/VALUE(MID(H775,FIND("/",H775)+1,99)))</f>
        <v/>
      </c>
    </row>
    <row r="776">
      <c r="B776" s="6" t="n"/>
      <c r="C776" s="6" t="n"/>
      <c r="E776" s="7" t="n"/>
      <c r="F776" s="7" t="n"/>
      <c r="I776" s="7">
        <f>IF(H776="","",VALUE(LEFT(H776,FIND("/",H776)-1))/VALUE(MID(H776,FIND("/",H776)+1,99)))</f>
        <v/>
      </c>
    </row>
    <row r="777">
      <c r="B777" s="6" t="n"/>
      <c r="C777" s="6" t="n"/>
      <c r="E777" s="7" t="n"/>
      <c r="F777" s="7" t="n"/>
      <c r="I777" s="7">
        <f>IF(H777="","",VALUE(LEFT(H777,FIND("/",H777)-1))/VALUE(MID(H777,FIND("/",H777)+1,99)))</f>
        <v/>
      </c>
    </row>
    <row r="778">
      <c r="B778" s="6" t="n"/>
      <c r="C778" s="6" t="n"/>
      <c r="E778" s="7" t="n"/>
      <c r="F778" s="7" t="n"/>
      <c r="I778" s="7">
        <f>IF(H778="","",VALUE(LEFT(H778,FIND("/",H778)-1))/VALUE(MID(H778,FIND("/",H778)+1,99)))</f>
        <v/>
      </c>
    </row>
    <row r="779">
      <c r="B779" s="6" t="n"/>
      <c r="C779" s="6" t="n"/>
      <c r="E779" s="7" t="n"/>
      <c r="F779" s="7" t="n"/>
      <c r="I779" s="7">
        <f>IF(H779="","",VALUE(LEFT(H779,FIND("/",H779)-1))/VALUE(MID(H779,FIND("/",H779)+1,99)))</f>
        <v/>
      </c>
    </row>
    <row r="780">
      <c r="B780" s="6" t="n"/>
      <c r="C780" s="6" t="n"/>
      <c r="E780" s="7" t="n"/>
      <c r="F780" s="7" t="n"/>
      <c r="I780" s="7">
        <f>IF(H780="","",VALUE(LEFT(H780,FIND("/",H780)-1))/VALUE(MID(H780,FIND("/",H780)+1,99)))</f>
        <v/>
      </c>
    </row>
    <row r="781">
      <c r="B781" s="6" t="n"/>
      <c r="C781" s="6" t="n"/>
      <c r="E781" s="7" t="n"/>
      <c r="F781" s="7" t="n"/>
      <c r="I781" s="7">
        <f>IF(H781="","",VALUE(LEFT(H781,FIND("/",H781)-1))/VALUE(MID(H781,FIND("/",H781)+1,99)))</f>
        <v/>
      </c>
    </row>
    <row r="782">
      <c r="B782" s="6" t="n"/>
      <c r="C782" s="6" t="n"/>
      <c r="E782" s="7" t="n"/>
      <c r="F782" s="7" t="n"/>
      <c r="I782" s="7">
        <f>IF(H782="","",VALUE(LEFT(H782,FIND("/",H782)-1))/VALUE(MID(H782,FIND("/",H782)+1,99)))</f>
        <v/>
      </c>
    </row>
    <row r="783">
      <c r="B783" s="6" t="n"/>
      <c r="C783" s="6" t="n"/>
      <c r="E783" s="7" t="n"/>
      <c r="F783" s="7" t="n"/>
      <c r="I783" s="7">
        <f>IF(H783="","",VALUE(LEFT(H783,FIND("/",H783)-1))/VALUE(MID(H783,FIND("/",H783)+1,99)))</f>
        <v/>
      </c>
    </row>
    <row r="784">
      <c r="B784" s="6" t="n"/>
      <c r="C784" s="6" t="n"/>
      <c r="E784" s="7" t="n"/>
      <c r="F784" s="7" t="n"/>
      <c r="I784" s="7">
        <f>IF(H784="","",VALUE(LEFT(H784,FIND("/",H784)-1))/VALUE(MID(H784,FIND("/",H784)+1,99)))</f>
        <v/>
      </c>
    </row>
    <row r="785">
      <c r="B785" s="6" t="n"/>
      <c r="C785" s="6" t="n"/>
      <c r="E785" s="7" t="n"/>
      <c r="F785" s="7" t="n"/>
      <c r="I785" s="7">
        <f>IF(H785="","",VALUE(LEFT(H785,FIND("/",H785)-1))/VALUE(MID(H785,FIND("/",H785)+1,99)))</f>
        <v/>
      </c>
    </row>
    <row r="786">
      <c r="B786" s="6" t="n"/>
      <c r="C786" s="6" t="n"/>
      <c r="E786" s="7" t="n"/>
      <c r="F786" s="7" t="n"/>
      <c r="I786" s="7">
        <f>IF(H786="","",VALUE(LEFT(H786,FIND("/",H786)-1))/VALUE(MID(H786,FIND("/",H786)+1,99)))</f>
        <v/>
      </c>
    </row>
    <row r="787">
      <c r="B787" s="6" t="n"/>
      <c r="C787" s="6" t="n"/>
      <c r="E787" s="7" t="n"/>
      <c r="F787" s="7" t="n"/>
      <c r="I787" s="7">
        <f>IF(H787="","",VALUE(LEFT(H787,FIND("/",H787)-1))/VALUE(MID(H787,FIND("/",H787)+1,99)))</f>
        <v/>
      </c>
    </row>
    <row r="788">
      <c r="B788" s="6" t="n"/>
      <c r="C788" s="6" t="n"/>
      <c r="E788" s="7" t="n"/>
      <c r="F788" s="7" t="n"/>
      <c r="I788" s="7">
        <f>IF(H788="","",VALUE(LEFT(H788,FIND("/",H788)-1))/VALUE(MID(H788,FIND("/",H788)+1,99)))</f>
        <v/>
      </c>
    </row>
    <row r="789">
      <c r="B789" s="6" t="n"/>
      <c r="C789" s="6" t="n"/>
      <c r="E789" s="7" t="n"/>
      <c r="F789" s="7" t="n"/>
      <c r="I789" s="7">
        <f>IF(H789="","",VALUE(LEFT(H789,FIND("/",H789)-1))/VALUE(MID(H789,FIND("/",H789)+1,99)))</f>
        <v/>
      </c>
    </row>
    <row r="790">
      <c r="B790" s="6" t="n"/>
      <c r="C790" s="6" t="n"/>
      <c r="E790" s="7" t="n"/>
      <c r="F790" s="7" t="n"/>
      <c r="I790" s="7">
        <f>IF(H790="","",VALUE(LEFT(H790,FIND("/",H790)-1))/VALUE(MID(H790,FIND("/",H790)+1,99)))</f>
        <v/>
      </c>
    </row>
    <row r="791">
      <c r="B791" s="6" t="n"/>
      <c r="C791" s="6" t="n"/>
      <c r="E791" s="7" t="n"/>
      <c r="F791" s="7" t="n"/>
      <c r="I791" s="7">
        <f>IF(H791="","",VALUE(LEFT(H791,FIND("/",H791)-1))/VALUE(MID(H791,FIND("/",H791)+1,99)))</f>
        <v/>
      </c>
    </row>
    <row r="792">
      <c r="B792" s="6" t="n"/>
      <c r="C792" s="6" t="n"/>
      <c r="E792" s="7" t="n"/>
      <c r="F792" s="7" t="n"/>
      <c r="I792" s="7">
        <f>IF(H792="","",VALUE(LEFT(H792,FIND("/",H792)-1))/VALUE(MID(H792,FIND("/",H792)+1,99)))</f>
        <v/>
      </c>
    </row>
    <row r="793">
      <c r="B793" s="6" t="n"/>
      <c r="C793" s="6" t="n"/>
      <c r="E793" s="7" t="n"/>
      <c r="F793" s="7" t="n"/>
      <c r="I793" s="7">
        <f>IF(H793="","",VALUE(LEFT(H793,FIND("/",H793)-1))/VALUE(MID(H793,FIND("/",H793)+1,99)))</f>
        <v/>
      </c>
    </row>
    <row r="794">
      <c r="B794" s="6" t="n"/>
      <c r="C794" s="6" t="n"/>
      <c r="E794" s="7" t="n"/>
      <c r="F794" s="7" t="n"/>
      <c r="I794" s="7">
        <f>IF(H794="","",VALUE(LEFT(H794,FIND("/",H794)-1))/VALUE(MID(H794,FIND("/",H794)+1,99)))</f>
        <v/>
      </c>
    </row>
    <row r="795">
      <c r="B795" s="6" t="n"/>
      <c r="C795" s="6" t="n"/>
      <c r="E795" s="7" t="n"/>
      <c r="F795" s="7" t="n"/>
      <c r="I795" s="7">
        <f>IF(H795="","",VALUE(LEFT(H795,FIND("/",H795)-1))/VALUE(MID(H795,FIND("/",H795)+1,99)))</f>
        <v/>
      </c>
    </row>
    <row r="796">
      <c r="B796" s="6" t="n"/>
      <c r="C796" s="6" t="n"/>
      <c r="E796" s="7" t="n"/>
      <c r="F796" s="7" t="n"/>
      <c r="I796" s="7">
        <f>IF(H796="","",VALUE(LEFT(H796,FIND("/",H796)-1))/VALUE(MID(H796,FIND("/",H796)+1,99)))</f>
        <v/>
      </c>
    </row>
    <row r="797">
      <c r="B797" s="6" t="n"/>
      <c r="C797" s="6" t="n"/>
      <c r="E797" s="7" t="n"/>
      <c r="F797" s="7" t="n"/>
      <c r="I797" s="7">
        <f>IF(H797="","",VALUE(LEFT(H797,FIND("/",H797)-1))/VALUE(MID(H797,FIND("/",H797)+1,99)))</f>
        <v/>
      </c>
    </row>
    <row r="798">
      <c r="B798" s="6" t="n"/>
      <c r="C798" s="6" t="n"/>
      <c r="E798" s="7" t="n"/>
      <c r="F798" s="7" t="n"/>
      <c r="I798" s="7">
        <f>IF(H798="","",VALUE(LEFT(H798,FIND("/",H798)-1))/VALUE(MID(H798,FIND("/",H798)+1,99)))</f>
        <v/>
      </c>
    </row>
    <row r="799">
      <c r="B799" s="6" t="n"/>
      <c r="C799" s="6" t="n"/>
      <c r="E799" s="7" t="n"/>
      <c r="F799" s="7" t="n"/>
      <c r="I799" s="7">
        <f>IF(H799="","",VALUE(LEFT(H799,FIND("/",H799)-1))/VALUE(MID(H799,FIND("/",H799)+1,99)))</f>
        <v/>
      </c>
    </row>
    <row r="800">
      <c r="B800" s="6" t="n"/>
      <c r="C800" s="6" t="n"/>
      <c r="E800" s="7" t="n"/>
      <c r="F800" s="7" t="n"/>
      <c r="I800" s="7">
        <f>IF(H800="","",VALUE(LEFT(H800,FIND("/",H800)-1))/VALUE(MID(H800,FIND("/",H800)+1,99)))</f>
        <v/>
      </c>
    </row>
    <row r="801">
      <c r="B801" s="6" t="n"/>
      <c r="C801" s="6" t="n"/>
      <c r="E801" s="7" t="n"/>
      <c r="F801" s="7" t="n"/>
      <c r="I801" s="7">
        <f>IF(H801="","",VALUE(LEFT(H801,FIND("/",H801)-1))/VALUE(MID(H801,FIND("/",H801)+1,99)))</f>
        <v/>
      </c>
    </row>
    <row r="802">
      <c r="B802" s="6" t="n"/>
      <c r="C802" s="6" t="n"/>
      <c r="E802" s="7" t="n"/>
      <c r="F802" s="7" t="n"/>
      <c r="I802" s="7">
        <f>IF(H802="","",VALUE(LEFT(H802,FIND("/",H802)-1))/VALUE(MID(H802,FIND("/",H802)+1,99)))</f>
        <v/>
      </c>
    </row>
    <row r="803">
      <c r="B803" s="6" t="n"/>
      <c r="C803" s="6" t="n"/>
      <c r="E803" s="7" t="n"/>
      <c r="F803" s="7" t="n"/>
      <c r="I803" s="7">
        <f>IF(H803="","",VALUE(LEFT(H803,FIND("/",H803)-1))/VALUE(MID(H803,FIND("/",H803)+1,99)))</f>
        <v/>
      </c>
    </row>
    <row r="804">
      <c r="B804" s="6" t="n"/>
      <c r="C804" s="6" t="n"/>
      <c r="E804" s="7" t="n"/>
      <c r="F804" s="7" t="n"/>
      <c r="I804" s="7">
        <f>IF(H804="","",VALUE(LEFT(H804,FIND("/",H804)-1))/VALUE(MID(H804,FIND("/",H804)+1,99)))</f>
        <v/>
      </c>
    </row>
    <row r="805">
      <c r="B805" s="6" t="n"/>
      <c r="C805" s="6" t="n"/>
      <c r="E805" s="7" t="n"/>
      <c r="F805" s="7" t="n"/>
      <c r="I805" s="7">
        <f>IF(H805="","",VALUE(LEFT(H805,FIND("/",H805)-1))/VALUE(MID(H805,FIND("/",H805)+1,99)))</f>
        <v/>
      </c>
    </row>
    <row r="806">
      <c r="B806" s="6" t="n"/>
      <c r="C806" s="6" t="n"/>
      <c r="E806" s="7" t="n"/>
      <c r="F806" s="7" t="n"/>
      <c r="I806" s="7">
        <f>IF(H806="","",VALUE(LEFT(H806,FIND("/",H806)-1))/VALUE(MID(H806,FIND("/",H806)+1,99)))</f>
        <v/>
      </c>
    </row>
    <row r="807">
      <c r="B807" s="6" t="n"/>
      <c r="C807" s="6" t="n"/>
      <c r="E807" s="7" t="n"/>
      <c r="F807" s="7" t="n"/>
      <c r="I807" s="7">
        <f>IF(H807="","",VALUE(LEFT(H807,FIND("/",H807)-1))/VALUE(MID(H807,FIND("/",H807)+1,99)))</f>
        <v/>
      </c>
    </row>
    <row r="808">
      <c r="B808" s="6" t="n"/>
      <c r="C808" s="6" t="n"/>
      <c r="E808" s="7" t="n"/>
      <c r="F808" s="7" t="n"/>
      <c r="I808" s="7">
        <f>IF(H808="","",VALUE(LEFT(H808,FIND("/",H808)-1))/VALUE(MID(H808,FIND("/",H808)+1,99)))</f>
        <v/>
      </c>
    </row>
    <row r="809">
      <c r="B809" s="6" t="n"/>
      <c r="C809" s="6" t="n"/>
      <c r="E809" s="7" t="n"/>
      <c r="F809" s="7" t="n"/>
      <c r="I809" s="7">
        <f>IF(H809="","",VALUE(LEFT(H809,FIND("/",H809)-1))/VALUE(MID(H809,FIND("/",H809)+1,99)))</f>
        <v/>
      </c>
    </row>
    <row r="810">
      <c r="B810" s="6" t="n"/>
      <c r="C810" s="6" t="n"/>
      <c r="E810" s="7" t="n"/>
      <c r="F810" s="7" t="n"/>
      <c r="I810" s="7">
        <f>IF(H810="","",VALUE(LEFT(H810,FIND("/",H810)-1))/VALUE(MID(H810,FIND("/",H810)+1,99)))</f>
        <v/>
      </c>
    </row>
    <row r="811">
      <c r="B811" s="6" t="n"/>
      <c r="C811" s="6" t="n"/>
      <c r="E811" s="7" t="n"/>
      <c r="F811" s="7" t="n"/>
      <c r="I811" s="7">
        <f>IF(H811="","",VALUE(LEFT(H811,FIND("/",H811)-1))/VALUE(MID(H811,FIND("/",H811)+1,99)))</f>
        <v/>
      </c>
    </row>
    <row r="812">
      <c r="B812" s="6" t="n"/>
      <c r="C812" s="6" t="n"/>
      <c r="E812" s="7" t="n"/>
      <c r="F812" s="7" t="n"/>
      <c r="I812" s="7">
        <f>IF(H812="","",VALUE(LEFT(H812,FIND("/",H812)-1))/VALUE(MID(H812,FIND("/",H812)+1,99)))</f>
        <v/>
      </c>
    </row>
    <row r="813">
      <c r="B813" s="6" t="n"/>
      <c r="C813" s="6" t="n"/>
      <c r="E813" s="7" t="n"/>
      <c r="F813" s="7" t="n"/>
      <c r="I813" s="7">
        <f>IF(H813="","",VALUE(LEFT(H813,FIND("/",H813)-1))/VALUE(MID(H813,FIND("/",H813)+1,99)))</f>
        <v/>
      </c>
    </row>
    <row r="814">
      <c r="B814" s="6" t="n"/>
      <c r="C814" s="6" t="n"/>
      <c r="E814" s="7" t="n"/>
      <c r="F814" s="7" t="n"/>
      <c r="I814" s="7">
        <f>IF(H814="","",VALUE(LEFT(H814,FIND("/",H814)-1))/VALUE(MID(H814,FIND("/",H814)+1,99)))</f>
        <v/>
      </c>
    </row>
    <row r="815">
      <c r="B815" s="6" t="n"/>
      <c r="C815" s="6" t="n"/>
      <c r="E815" s="7" t="n"/>
      <c r="F815" s="7" t="n"/>
      <c r="I815" s="7">
        <f>IF(H815="","",VALUE(LEFT(H815,FIND("/",H815)-1))/VALUE(MID(H815,FIND("/",H815)+1,99)))</f>
        <v/>
      </c>
    </row>
    <row r="816">
      <c r="B816" s="6" t="n"/>
      <c r="C816" s="6" t="n"/>
      <c r="E816" s="7" t="n"/>
      <c r="F816" s="7" t="n"/>
      <c r="I816" s="7">
        <f>IF(H816="","",VALUE(LEFT(H816,FIND("/",H816)-1))/VALUE(MID(H816,FIND("/",H816)+1,99)))</f>
        <v/>
      </c>
    </row>
    <row r="817">
      <c r="B817" s="6" t="n"/>
      <c r="C817" s="6" t="n"/>
      <c r="E817" s="7" t="n"/>
      <c r="F817" s="7" t="n"/>
      <c r="I817" s="7">
        <f>IF(H817="","",VALUE(LEFT(H817,FIND("/",H817)-1))/VALUE(MID(H817,FIND("/",H817)+1,99)))</f>
        <v/>
      </c>
    </row>
    <row r="818">
      <c r="B818" s="6" t="n"/>
      <c r="C818" s="6" t="n"/>
      <c r="E818" s="7" t="n"/>
      <c r="F818" s="7" t="n"/>
      <c r="I818" s="7">
        <f>IF(H818="","",VALUE(LEFT(H818,FIND("/",H818)-1))/VALUE(MID(H818,FIND("/",H818)+1,99)))</f>
        <v/>
      </c>
    </row>
    <row r="819">
      <c r="B819" s="6" t="n"/>
      <c r="C819" s="6" t="n"/>
      <c r="E819" s="7" t="n"/>
      <c r="F819" s="7" t="n"/>
      <c r="I819" s="7">
        <f>IF(H819="","",VALUE(LEFT(H819,FIND("/",H819)-1))/VALUE(MID(H819,FIND("/",H819)+1,99)))</f>
        <v/>
      </c>
    </row>
    <row r="820">
      <c r="B820" s="6" t="n"/>
      <c r="C820" s="6" t="n"/>
      <c r="E820" s="7" t="n"/>
      <c r="F820" s="7" t="n"/>
      <c r="I820" s="7">
        <f>IF(H820="","",VALUE(LEFT(H820,FIND("/",H820)-1))/VALUE(MID(H820,FIND("/",H820)+1,99)))</f>
        <v/>
      </c>
    </row>
    <row r="821">
      <c r="B821" s="6" t="n"/>
      <c r="C821" s="6" t="n"/>
      <c r="E821" s="7" t="n"/>
      <c r="F821" s="7" t="n"/>
      <c r="I821" s="7">
        <f>IF(H821="","",VALUE(LEFT(H821,FIND("/",H821)-1))/VALUE(MID(H821,FIND("/",H821)+1,99)))</f>
        <v/>
      </c>
    </row>
    <row r="822">
      <c r="B822" s="6" t="n"/>
      <c r="C822" s="6" t="n"/>
      <c r="E822" s="7" t="n"/>
      <c r="F822" s="7" t="n"/>
      <c r="I822" s="7">
        <f>IF(H822="","",VALUE(LEFT(H822,FIND("/",H822)-1))/VALUE(MID(H822,FIND("/",H822)+1,99)))</f>
        <v/>
      </c>
    </row>
    <row r="823">
      <c r="B823" s="6" t="n"/>
      <c r="C823" s="6" t="n"/>
      <c r="E823" s="7" t="n"/>
      <c r="F823" s="7" t="n"/>
      <c r="I823" s="7">
        <f>IF(H823="","",VALUE(LEFT(H823,FIND("/",H823)-1))/VALUE(MID(H823,FIND("/",H823)+1,99)))</f>
        <v/>
      </c>
    </row>
    <row r="824">
      <c r="B824" s="6" t="n"/>
      <c r="C824" s="6" t="n"/>
      <c r="E824" s="7" t="n"/>
      <c r="F824" s="7" t="n"/>
      <c r="I824" s="7">
        <f>IF(H824="","",VALUE(LEFT(H824,FIND("/",H824)-1))/VALUE(MID(H824,FIND("/",H824)+1,99)))</f>
        <v/>
      </c>
    </row>
    <row r="825">
      <c r="B825" s="6" t="n"/>
      <c r="C825" s="6" t="n"/>
      <c r="E825" s="7" t="n"/>
      <c r="F825" s="7" t="n"/>
      <c r="I825" s="7">
        <f>IF(H825="","",VALUE(LEFT(H825,FIND("/",H825)-1))/VALUE(MID(H825,FIND("/",H825)+1,99)))</f>
        <v/>
      </c>
    </row>
    <row r="826">
      <c r="B826" s="6" t="n"/>
      <c r="C826" s="6" t="n"/>
      <c r="E826" s="7" t="n"/>
      <c r="F826" s="7" t="n"/>
      <c r="I826" s="7">
        <f>IF(H826="","",VALUE(LEFT(H826,FIND("/",H826)-1))/VALUE(MID(H826,FIND("/",H826)+1,99)))</f>
        <v/>
      </c>
    </row>
    <row r="827">
      <c r="B827" s="6" t="n"/>
      <c r="C827" s="6" t="n"/>
      <c r="E827" s="7" t="n"/>
      <c r="F827" s="7" t="n"/>
      <c r="I827" s="7">
        <f>IF(H827="","",VALUE(LEFT(H827,FIND("/",H827)-1))/VALUE(MID(H827,FIND("/",H827)+1,99)))</f>
        <v/>
      </c>
    </row>
    <row r="828">
      <c r="B828" s="6" t="n"/>
      <c r="C828" s="6" t="n"/>
      <c r="E828" s="7" t="n"/>
      <c r="F828" s="7" t="n"/>
      <c r="I828" s="7">
        <f>IF(H828="","",VALUE(LEFT(H828,FIND("/",H828)-1))/VALUE(MID(H828,FIND("/",H828)+1,99)))</f>
        <v/>
      </c>
    </row>
    <row r="829">
      <c r="B829" s="6" t="n"/>
      <c r="C829" s="6" t="n"/>
      <c r="E829" s="7" t="n"/>
      <c r="F829" s="7" t="n"/>
      <c r="I829" s="7">
        <f>IF(H829="","",VALUE(LEFT(H829,FIND("/",H829)-1))/VALUE(MID(H829,FIND("/",H829)+1,99)))</f>
        <v/>
      </c>
    </row>
    <row r="830">
      <c r="B830" s="6" t="n"/>
      <c r="C830" s="6" t="n"/>
      <c r="E830" s="7" t="n"/>
      <c r="F830" s="7" t="n"/>
      <c r="I830" s="7">
        <f>IF(H830="","",VALUE(LEFT(H830,FIND("/",H830)-1))/VALUE(MID(H830,FIND("/",H830)+1,99)))</f>
        <v/>
      </c>
    </row>
    <row r="831">
      <c r="B831" s="6" t="n"/>
      <c r="C831" s="6" t="n"/>
      <c r="E831" s="7" t="n"/>
      <c r="F831" s="7" t="n"/>
      <c r="I831" s="7">
        <f>IF(H831="","",VALUE(LEFT(H831,FIND("/",H831)-1))/VALUE(MID(H831,FIND("/",H831)+1,99)))</f>
        <v/>
      </c>
    </row>
    <row r="832">
      <c r="B832" s="6" t="n"/>
      <c r="C832" s="6" t="n"/>
      <c r="E832" s="7" t="n"/>
      <c r="F832" s="7" t="n"/>
      <c r="I832" s="7">
        <f>IF(H832="","",VALUE(LEFT(H832,FIND("/",H832)-1))/VALUE(MID(H832,FIND("/",H832)+1,99)))</f>
        <v/>
      </c>
    </row>
    <row r="833">
      <c r="B833" s="6" t="n"/>
      <c r="C833" s="6" t="n"/>
      <c r="E833" s="7" t="n"/>
      <c r="F833" s="7" t="n"/>
      <c r="I833" s="7">
        <f>IF(H833="","",VALUE(LEFT(H833,FIND("/",H833)-1))/VALUE(MID(H833,FIND("/",H833)+1,99)))</f>
        <v/>
      </c>
    </row>
    <row r="834">
      <c r="B834" s="6" t="n"/>
      <c r="C834" s="6" t="n"/>
      <c r="E834" s="7" t="n"/>
      <c r="F834" s="7" t="n"/>
      <c r="I834" s="7">
        <f>IF(H834="","",VALUE(LEFT(H834,FIND("/",H834)-1))/VALUE(MID(H834,FIND("/",H834)+1,99)))</f>
        <v/>
      </c>
    </row>
    <row r="835">
      <c r="B835" s="6" t="n"/>
      <c r="C835" s="6" t="n"/>
      <c r="E835" s="7" t="n"/>
      <c r="F835" s="7" t="n"/>
      <c r="I835" s="7">
        <f>IF(H835="","",VALUE(LEFT(H835,FIND("/",H835)-1))/VALUE(MID(H835,FIND("/",H835)+1,99)))</f>
        <v/>
      </c>
    </row>
    <row r="836">
      <c r="B836" s="6" t="n"/>
      <c r="C836" s="6" t="n"/>
      <c r="E836" s="7" t="n"/>
      <c r="F836" s="7" t="n"/>
      <c r="I836" s="7">
        <f>IF(H836="","",VALUE(LEFT(H836,FIND("/",H836)-1))/VALUE(MID(H836,FIND("/",H836)+1,99)))</f>
        <v/>
      </c>
    </row>
    <row r="837">
      <c r="B837" s="6" t="n"/>
      <c r="C837" s="6" t="n"/>
      <c r="E837" s="7" t="n"/>
      <c r="F837" s="7" t="n"/>
      <c r="I837" s="7">
        <f>IF(H837="","",VALUE(LEFT(H837,FIND("/",H837)-1))/VALUE(MID(H837,FIND("/",H837)+1,99)))</f>
        <v/>
      </c>
    </row>
    <row r="838">
      <c r="B838" s="6" t="n"/>
      <c r="C838" s="6" t="n"/>
      <c r="E838" s="7" t="n"/>
      <c r="F838" s="7" t="n"/>
      <c r="I838" s="7">
        <f>IF(H838="","",VALUE(LEFT(H838,FIND("/",H838)-1))/VALUE(MID(H838,FIND("/",H838)+1,99)))</f>
        <v/>
      </c>
    </row>
    <row r="839">
      <c r="B839" s="6" t="n"/>
      <c r="C839" s="6" t="n"/>
      <c r="E839" s="7" t="n"/>
      <c r="F839" s="7" t="n"/>
      <c r="I839" s="7">
        <f>IF(H839="","",VALUE(LEFT(H839,FIND("/",H839)-1))/VALUE(MID(H839,FIND("/",H839)+1,99)))</f>
        <v/>
      </c>
    </row>
    <row r="840">
      <c r="B840" s="6" t="n"/>
      <c r="C840" s="6" t="n"/>
      <c r="E840" s="7" t="n"/>
      <c r="F840" s="7" t="n"/>
      <c r="I840" s="7">
        <f>IF(H840="","",VALUE(LEFT(H840,FIND("/",H840)-1))/VALUE(MID(H840,FIND("/",H840)+1,99)))</f>
        <v/>
      </c>
    </row>
    <row r="841">
      <c r="B841" s="6" t="n"/>
      <c r="C841" s="6" t="n"/>
      <c r="E841" s="7" t="n"/>
      <c r="F841" s="7" t="n"/>
      <c r="I841" s="7">
        <f>IF(H841="","",VALUE(LEFT(H841,FIND("/",H841)-1))/VALUE(MID(H841,FIND("/",H841)+1,99)))</f>
        <v/>
      </c>
    </row>
    <row r="842">
      <c r="B842" s="6" t="n"/>
      <c r="C842" s="6" t="n"/>
      <c r="E842" s="7" t="n"/>
      <c r="F842" s="7" t="n"/>
      <c r="I842" s="7">
        <f>IF(H842="","",VALUE(LEFT(H842,FIND("/",H842)-1))/VALUE(MID(H842,FIND("/",H842)+1,99)))</f>
        <v/>
      </c>
    </row>
    <row r="843">
      <c r="B843" s="6" t="n"/>
      <c r="C843" s="6" t="n"/>
      <c r="E843" s="7" t="n"/>
      <c r="F843" s="7" t="n"/>
      <c r="I843" s="7">
        <f>IF(H843="","",VALUE(LEFT(H843,FIND("/",H843)-1))/VALUE(MID(H843,FIND("/",H843)+1,99)))</f>
        <v/>
      </c>
    </row>
    <row r="844">
      <c r="B844" s="6" t="n"/>
      <c r="C844" s="6" t="n"/>
      <c r="E844" s="7" t="n"/>
      <c r="F844" s="7" t="n"/>
      <c r="I844" s="7">
        <f>IF(H844="","",VALUE(LEFT(H844,FIND("/",H844)-1))/VALUE(MID(H844,FIND("/",H844)+1,99)))</f>
        <v/>
      </c>
    </row>
    <row r="845">
      <c r="B845" s="6" t="n"/>
      <c r="C845" s="6" t="n"/>
      <c r="E845" s="7" t="n"/>
      <c r="F845" s="7" t="n"/>
      <c r="I845" s="7">
        <f>IF(H845="","",VALUE(LEFT(H845,FIND("/",H845)-1))/VALUE(MID(H845,FIND("/",H845)+1,99)))</f>
        <v/>
      </c>
    </row>
    <row r="846">
      <c r="B846" s="6" t="n"/>
      <c r="C846" s="6" t="n"/>
      <c r="E846" s="7" t="n"/>
      <c r="F846" s="7" t="n"/>
      <c r="I846" s="7">
        <f>IF(H846="","",VALUE(LEFT(H846,FIND("/",H846)-1))/VALUE(MID(H846,FIND("/",H846)+1,99)))</f>
        <v/>
      </c>
    </row>
    <row r="847">
      <c r="B847" s="6" t="n"/>
      <c r="C847" s="6" t="n"/>
      <c r="E847" s="7" t="n"/>
      <c r="F847" s="7" t="n"/>
      <c r="I847" s="7">
        <f>IF(H847="","",VALUE(LEFT(H847,FIND("/",H847)-1))/VALUE(MID(H847,FIND("/",H847)+1,99)))</f>
        <v/>
      </c>
    </row>
    <row r="848">
      <c r="B848" s="6" t="n"/>
      <c r="C848" s="6" t="n"/>
      <c r="E848" s="7" t="n"/>
      <c r="F848" s="7" t="n"/>
      <c r="I848" s="7">
        <f>IF(H848="","",VALUE(LEFT(H848,FIND("/",H848)-1))/VALUE(MID(H848,FIND("/",H848)+1,99)))</f>
        <v/>
      </c>
    </row>
    <row r="849">
      <c r="B849" s="6" t="n"/>
      <c r="C849" s="6" t="n"/>
      <c r="E849" s="7" t="n"/>
      <c r="F849" s="7" t="n"/>
      <c r="I849" s="7">
        <f>IF(H849="","",VALUE(LEFT(H849,FIND("/",H849)-1))/VALUE(MID(H849,FIND("/",H849)+1,99)))</f>
        <v/>
      </c>
    </row>
    <row r="850">
      <c r="B850" s="6" t="n"/>
      <c r="C850" s="6" t="n"/>
      <c r="E850" s="7" t="n"/>
      <c r="F850" s="7" t="n"/>
      <c r="I850" s="7">
        <f>IF(H850="","",VALUE(LEFT(H850,FIND("/",H850)-1))/VALUE(MID(H850,FIND("/",H850)+1,99)))</f>
        <v/>
      </c>
    </row>
    <row r="851">
      <c r="B851" s="6" t="n"/>
      <c r="C851" s="6" t="n"/>
      <c r="E851" s="7" t="n"/>
      <c r="F851" s="7" t="n"/>
      <c r="I851" s="7">
        <f>IF(H851="","",VALUE(LEFT(H851,FIND("/",H851)-1))/VALUE(MID(H851,FIND("/",H851)+1,99)))</f>
        <v/>
      </c>
    </row>
    <row r="852">
      <c r="B852" s="6" t="n"/>
      <c r="C852" s="6" t="n"/>
      <c r="E852" s="7" t="n"/>
      <c r="F852" s="7" t="n"/>
      <c r="I852" s="7">
        <f>IF(H852="","",VALUE(LEFT(H852,FIND("/",H852)-1))/VALUE(MID(H852,FIND("/",H852)+1,99)))</f>
        <v/>
      </c>
    </row>
    <row r="853">
      <c r="B853" s="6" t="n"/>
      <c r="C853" s="6" t="n"/>
      <c r="E853" s="7" t="n"/>
      <c r="F853" s="7" t="n"/>
      <c r="I853" s="7">
        <f>IF(H853="","",VALUE(LEFT(H853,FIND("/",H853)-1))/VALUE(MID(H853,FIND("/",H853)+1,99)))</f>
        <v/>
      </c>
    </row>
    <row r="854">
      <c r="B854" s="6" t="n"/>
      <c r="C854" s="6" t="n"/>
      <c r="E854" s="7" t="n"/>
      <c r="F854" s="7" t="n"/>
      <c r="I854" s="7">
        <f>IF(H854="","",VALUE(LEFT(H854,FIND("/",H854)-1))/VALUE(MID(H854,FIND("/",H854)+1,99)))</f>
        <v/>
      </c>
    </row>
    <row r="855">
      <c r="B855" s="6" t="n"/>
      <c r="C855" s="6" t="n"/>
      <c r="E855" s="7" t="n"/>
      <c r="F855" s="7" t="n"/>
      <c r="I855" s="7">
        <f>IF(H855="","",VALUE(LEFT(H855,FIND("/",H855)-1))/VALUE(MID(H855,FIND("/",H855)+1,99)))</f>
        <v/>
      </c>
    </row>
    <row r="856">
      <c r="B856" s="6" t="n"/>
      <c r="C856" s="6" t="n"/>
      <c r="E856" s="7" t="n"/>
      <c r="F856" s="7" t="n"/>
      <c r="I856" s="7">
        <f>IF(H856="","",VALUE(LEFT(H856,FIND("/",H856)-1))/VALUE(MID(H856,FIND("/",H856)+1,99)))</f>
        <v/>
      </c>
    </row>
    <row r="857">
      <c r="B857" s="6" t="n"/>
      <c r="C857" s="6" t="n"/>
      <c r="E857" s="7" t="n"/>
      <c r="F857" s="7" t="n"/>
      <c r="I857" s="7">
        <f>IF(H857="","",VALUE(LEFT(H857,FIND("/",H857)-1))/VALUE(MID(H857,FIND("/",H857)+1,99)))</f>
        <v/>
      </c>
    </row>
    <row r="858">
      <c r="B858" s="6" t="n"/>
      <c r="C858" s="6" t="n"/>
      <c r="E858" s="7" t="n"/>
      <c r="F858" s="7" t="n"/>
      <c r="I858" s="7">
        <f>IF(H858="","",VALUE(LEFT(H858,FIND("/",H858)-1))/VALUE(MID(H858,FIND("/",H858)+1,99)))</f>
        <v/>
      </c>
    </row>
    <row r="859">
      <c r="B859" s="6" t="n"/>
      <c r="C859" s="6" t="n"/>
      <c r="E859" s="7" t="n"/>
      <c r="F859" s="7" t="n"/>
      <c r="I859" s="7">
        <f>IF(H859="","",VALUE(LEFT(H859,FIND("/",H859)-1))/VALUE(MID(H859,FIND("/",H859)+1,99)))</f>
        <v/>
      </c>
    </row>
    <row r="860">
      <c r="B860" s="6" t="n"/>
      <c r="C860" s="6" t="n"/>
      <c r="E860" s="7" t="n"/>
      <c r="F860" s="7" t="n"/>
      <c r="I860" s="7">
        <f>IF(H860="","",VALUE(LEFT(H860,FIND("/",H860)-1))/VALUE(MID(H860,FIND("/",H860)+1,99)))</f>
        <v/>
      </c>
    </row>
    <row r="861">
      <c r="B861" s="6" t="n"/>
      <c r="C861" s="6" t="n"/>
      <c r="E861" s="7" t="n"/>
      <c r="F861" s="7" t="n"/>
      <c r="I861" s="7">
        <f>IF(H861="","",VALUE(LEFT(H861,FIND("/",H861)-1))/VALUE(MID(H861,FIND("/",H861)+1,99)))</f>
        <v/>
      </c>
    </row>
    <row r="862">
      <c r="B862" s="6" t="n"/>
      <c r="C862" s="6" t="n"/>
      <c r="E862" s="7" t="n"/>
      <c r="F862" s="7" t="n"/>
      <c r="I862" s="7">
        <f>IF(H862="","",VALUE(LEFT(H862,FIND("/",H862)-1))/VALUE(MID(H862,FIND("/",H862)+1,99)))</f>
        <v/>
      </c>
    </row>
    <row r="863">
      <c r="B863" s="6" t="n"/>
      <c r="C863" s="6" t="n"/>
      <c r="E863" s="7" t="n"/>
      <c r="F863" s="7" t="n"/>
      <c r="I863" s="7">
        <f>IF(H863="","",VALUE(LEFT(H863,FIND("/",H863)-1))/VALUE(MID(H863,FIND("/",H863)+1,99)))</f>
        <v/>
      </c>
    </row>
    <row r="864">
      <c r="B864" s="6" t="n"/>
      <c r="C864" s="6" t="n"/>
      <c r="E864" s="7" t="n"/>
      <c r="F864" s="7" t="n"/>
      <c r="I864" s="7">
        <f>IF(H864="","",VALUE(LEFT(H864,FIND("/",H864)-1))/VALUE(MID(H864,FIND("/",H864)+1,99)))</f>
        <v/>
      </c>
    </row>
    <row r="865">
      <c r="B865" s="6" t="n"/>
      <c r="C865" s="6" t="n"/>
      <c r="E865" s="7" t="n"/>
      <c r="F865" s="7" t="n"/>
      <c r="I865" s="7">
        <f>IF(H865="","",VALUE(LEFT(H865,FIND("/",H865)-1))/VALUE(MID(H865,FIND("/",H865)+1,99)))</f>
        <v/>
      </c>
    </row>
    <row r="866">
      <c r="B866" s="6" t="n"/>
      <c r="C866" s="6" t="n"/>
      <c r="E866" s="7" t="n"/>
      <c r="F866" s="7" t="n"/>
      <c r="I866" s="7">
        <f>IF(H866="","",VALUE(LEFT(H866,FIND("/",H866)-1))/VALUE(MID(H866,FIND("/",H866)+1,99)))</f>
        <v/>
      </c>
    </row>
    <row r="867">
      <c r="B867" s="6" t="n"/>
      <c r="C867" s="6" t="n"/>
      <c r="E867" s="7" t="n"/>
      <c r="F867" s="7" t="n"/>
      <c r="I867" s="7">
        <f>IF(H867="","",VALUE(LEFT(H867,FIND("/",H867)-1))/VALUE(MID(H867,FIND("/",H867)+1,99)))</f>
        <v/>
      </c>
    </row>
    <row r="868">
      <c r="B868" s="6" t="n"/>
      <c r="C868" s="6" t="n"/>
      <c r="E868" s="7" t="n"/>
      <c r="F868" s="7" t="n"/>
      <c r="I868" s="7">
        <f>IF(H868="","",VALUE(LEFT(H868,FIND("/",H868)-1))/VALUE(MID(H868,FIND("/",H868)+1,99)))</f>
        <v/>
      </c>
    </row>
    <row r="869">
      <c r="B869" s="6" t="n"/>
      <c r="C869" s="6" t="n"/>
      <c r="E869" s="7" t="n"/>
      <c r="F869" s="7" t="n"/>
      <c r="I869" s="7">
        <f>IF(H869="","",VALUE(LEFT(H869,FIND("/",H869)-1))/VALUE(MID(H869,FIND("/",H869)+1,99)))</f>
        <v/>
      </c>
    </row>
    <row r="870">
      <c r="B870" s="6" t="n"/>
      <c r="C870" s="6" t="n"/>
      <c r="E870" s="7" t="n"/>
      <c r="F870" s="7" t="n"/>
      <c r="I870" s="7">
        <f>IF(H870="","",VALUE(LEFT(H870,FIND("/",H870)-1))/VALUE(MID(H870,FIND("/",H870)+1,99)))</f>
        <v/>
      </c>
    </row>
    <row r="871">
      <c r="B871" s="6" t="n"/>
      <c r="C871" s="6" t="n"/>
      <c r="E871" s="7" t="n"/>
      <c r="F871" s="7" t="n"/>
      <c r="I871" s="7">
        <f>IF(H871="","",VALUE(LEFT(H871,FIND("/",H871)-1))/VALUE(MID(H871,FIND("/",H871)+1,99)))</f>
        <v/>
      </c>
    </row>
    <row r="872">
      <c r="B872" s="6" t="n"/>
      <c r="C872" s="6" t="n"/>
      <c r="E872" s="7" t="n"/>
      <c r="F872" s="7" t="n"/>
      <c r="I872" s="7">
        <f>IF(H872="","",VALUE(LEFT(H872,FIND("/",H872)-1))/VALUE(MID(H872,FIND("/",H872)+1,99)))</f>
        <v/>
      </c>
    </row>
    <row r="873">
      <c r="B873" s="6" t="n"/>
      <c r="C873" s="6" t="n"/>
      <c r="E873" s="7" t="n"/>
      <c r="F873" s="7" t="n"/>
      <c r="I873" s="7">
        <f>IF(H873="","",VALUE(LEFT(H873,FIND("/",H873)-1))/VALUE(MID(H873,FIND("/",H873)+1,99)))</f>
        <v/>
      </c>
    </row>
    <row r="874">
      <c r="B874" s="6" t="n"/>
      <c r="C874" s="6" t="n"/>
      <c r="E874" s="7" t="n"/>
      <c r="F874" s="7" t="n"/>
      <c r="I874" s="7">
        <f>IF(H874="","",VALUE(LEFT(H874,FIND("/",H874)-1))/VALUE(MID(H874,FIND("/",H874)+1,99)))</f>
        <v/>
      </c>
    </row>
    <row r="875">
      <c r="B875" s="6" t="n"/>
      <c r="C875" s="6" t="n"/>
      <c r="E875" s="7" t="n"/>
      <c r="F875" s="7" t="n"/>
      <c r="I875" s="7">
        <f>IF(H875="","",VALUE(LEFT(H875,FIND("/",H875)-1))/VALUE(MID(H875,FIND("/",H875)+1,99)))</f>
        <v/>
      </c>
    </row>
    <row r="876">
      <c r="B876" s="6" t="n"/>
      <c r="C876" s="6" t="n"/>
      <c r="E876" s="7" t="n"/>
      <c r="F876" s="7" t="n"/>
      <c r="I876" s="7">
        <f>IF(H876="","",VALUE(LEFT(H876,FIND("/",H876)-1))/VALUE(MID(H876,FIND("/",H876)+1,99)))</f>
        <v/>
      </c>
    </row>
    <row r="877">
      <c r="B877" s="6" t="n"/>
      <c r="C877" s="6" t="n"/>
      <c r="E877" s="7" t="n"/>
      <c r="F877" s="7" t="n"/>
      <c r="I877" s="7">
        <f>IF(H877="","",VALUE(LEFT(H877,FIND("/",H877)-1))/VALUE(MID(H877,FIND("/",H877)+1,99)))</f>
        <v/>
      </c>
    </row>
    <row r="878">
      <c r="B878" s="6" t="n"/>
      <c r="C878" s="6" t="n"/>
      <c r="E878" s="7" t="n"/>
      <c r="F878" s="7" t="n"/>
      <c r="I878" s="7">
        <f>IF(H878="","",VALUE(LEFT(H878,FIND("/",H878)-1))/VALUE(MID(H878,FIND("/",H878)+1,99)))</f>
        <v/>
      </c>
    </row>
    <row r="879">
      <c r="B879" s="6" t="n"/>
      <c r="C879" s="6" t="n"/>
      <c r="E879" s="7" t="n"/>
      <c r="F879" s="7" t="n"/>
      <c r="I879" s="7">
        <f>IF(H879="","",VALUE(LEFT(H879,FIND("/",H879)-1))/VALUE(MID(H879,FIND("/",H879)+1,99)))</f>
        <v/>
      </c>
    </row>
    <row r="880">
      <c r="B880" s="6" t="n"/>
      <c r="C880" s="6" t="n"/>
      <c r="E880" s="7" t="n"/>
      <c r="F880" s="7" t="n"/>
      <c r="I880" s="7">
        <f>IF(H880="","",VALUE(LEFT(H880,FIND("/",H880)-1))/VALUE(MID(H880,FIND("/",H880)+1,99)))</f>
        <v/>
      </c>
    </row>
    <row r="881">
      <c r="B881" s="6" t="n"/>
      <c r="C881" s="6" t="n"/>
      <c r="E881" s="7" t="n"/>
      <c r="F881" s="7" t="n"/>
      <c r="I881" s="7">
        <f>IF(H881="","",VALUE(LEFT(H881,FIND("/",H881)-1))/VALUE(MID(H881,FIND("/",H881)+1,99)))</f>
        <v/>
      </c>
    </row>
    <row r="882">
      <c r="B882" s="6" t="n"/>
      <c r="C882" s="6" t="n"/>
      <c r="E882" s="7" t="n"/>
      <c r="F882" s="7" t="n"/>
      <c r="I882" s="7">
        <f>IF(H882="","",VALUE(LEFT(H882,FIND("/",H882)-1))/VALUE(MID(H882,FIND("/",H882)+1,99)))</f>
        <v/>
      </c>
    </row>
    <row r="883">
      <c r="B883" s="6" t="n"/>
      <c r="C883" s="6" t="n"/>
      <c r="E883" s="7" t="n"/>
      <c r="F883" s="7" t="n"/>
      <c r="I883" s="7">
        <f>IF(H883="","",VALUE(LEFT(H883,FIND("/",H883)-1))/VALUE(MID(H883,FIND("/",H883)+1,99)))</f>
        <v/>
      </c>
    </row>
    <row r="884">
      <c r="B884" s="6" t="n"/>
      <c r="C884" s="6" t="n"/>
      <c r="E884" s="7" t="n"/>
      <c r="F884" s="7" t="n"/>
      <c r="I884" s="7">
        <f>IF(H884="","",VALUE(LEFT(H884,FIND("/",H884)-1))/VALUE(MID(H884,FIND("/",H884)+1,99)))</f>
        <v/>
      </c>
    </row>
    <row r="885">
      <c r="B885" s="6" t="n"/>
      <c r="C885" s="6" t="n"/>
      <c r="E885" s="7" t="n"/>
      <c r="F885" s="7" t="n"/>
      <c r="I885" s="7">
        <f>IF(H885="","",VALUE(LEFT(H885,FIND("/",H885)-1))/VALUE(MID(H885,FIND("/",H885)+1,99)))</f>
        <v/>
      </c>
    </row>
    <row r="886">
      <c r="B886" s="6" t="n"/>
      <c r="C886" s="6" t="n"/>
      <c r="E886" s="7" t="n"/>
      <c r="F886" s="7" t="n"/>
      <c r="I886" s="7">
        <f>IF(H886="","",VALUE(LEFT(H886,FIND("/",H886)-1))/VALUE(MID(H886,FIND("/",H886)+1,99)))</f>
        <v/>
      </c>
    </row>
    <row r="887">
      <c r="B887" s="6" t="n"/>
      <c r="C887" s="6" t="n"/>
      <c r="E887" s="7" t="n"/>
      <c r="F887" s="7" t="n"/>
      <c r="I887" s="7">
        <f>IF(H887="","",VALUE(LEFT(H887,FIND("/",H887)-1))/VALUE(MID(H887,FIND("/",H887)+1,99)))</f>
        <v/>
      </c>
    </row>
    <row r="888">
      <c r="B888" s="6" t="n"/>
      <c r="C888" s="6" t="n"/>
      <c r="E888" s="7" t="n"/>
      <c r="F888" s="7" t="n"/>
      <c r="I888" s="7">
        <f>IF(H888="","",VALUE(LEFT(H888,FIND("/",H888)-1))/VALUE(MID(H888,FIND("/",H888)+1,99)))</f>
        <v/>
      </c>
    </row>
    <row r="889">
      <c r="B889" s="6" t="n"/>
      <c r="C889" s="6" t="n"/>
      <c r="E889" s="7" t="n"/>
      <c r="F889" s="7" t="n"/>
      <c r="I889" s="7">
        <f>IF(H889="","",VALUE(LEFT(H889,FIND("/",H889)-1))/VALUE(MID(H889,FIND("/",H889)+1,99)))</f>
        <v/>
      </c>
    </row>
    <row r="890">
      <c r="B890" s="6" t="n"/>
      <c r="C890" s="6" t="n"/>
      <c r="E890" s="7" t="n"/>
      <c r="F890" s="7" t="n"/>
      <c r="I890" s="7">
        <f>IF(H890="","",VALUE(LEFT(H890,FIND("/",H890)-1))/VALUE(MID(H890,FIND("/",H890)+1,99)))</f>
        <v/>
      </c>
    </row>
    <row r="891">
      <c r="B891" s="6" t="n"/>
      <c r="C891" s="6" t="n"/>
      <c r="E891" s="7" t="n"/>
      <c r="F891" s="7" t="n"/>
      <c r="I891" s="7">
        <f>IF(H891="","",VALUE(LEFT(H891,FIND("/",H891)-1))/VALUE(MID(H891,FIND("/",H891)+1,99)))</f>
        <v/>
      </c>
    </row>
    <row r="892">
      <c r="B892" s="6" t="n"/>
      <c r="C892" s="6" t="n"/>
      <c r="E892" s="7" t="n"/>
      <c r="F892" s="7" t="n"/>
      <c r="I892" s="7">
        <f>IF(H892="","",VALUE(LEFT(H892,FIND("/",H892)-1))/VALUE(MID(H892,FIND("/",H892)+1,99)))</f>
        <v/>
      </c>
    </row>
    <row r="893">
      <c r="B893" s="6" t="n"/>
      <c r="C893" s="6" t="n"/>
      <c r="E893" s="7" t="n"/>
      <c r="F893" s="7" t="n"/>
      <c r="I893" s="7">
        <f>IF(H893="","",VALUE(LEFT(H893,FIND("/",H893)-1))/VALUE(MID(H893,FIND("/",H893)+1,99)))</f>
        <v/>
      </c>
    </row>
    <row r="894">
      <c r="B894" s="6" t="n"/>
      <c r="C894" s="6" t="n"/>
      <c r="E894" s="7" t="n"/>
      <c r="F894" s="7" t="n"/>
      <c r="I894" s="7">
        <f>IF(H894="","",VALUE(LEFT(H894,FIND("/",H894)-1))/VALUE(MID(H894,FIND("/",H894)+1,99)))</f>
        <v/>
      </c>
    </row>
    <row r="895">
      <c r="B895" s="6" t="n"/>
      <c r="C895" s="6" t="n"/>
      <c r="E895" s="7" t="n"/>
      <c r="F895" s="7" t="n"/>
      <c r="I895" s="7">
        <f>IF(H895="","",VALUE(LEFT(H895,FIND("/",H895)-1))/VALUE(MID(H895,FIND("/",H895)+1,99)))</f>
        <v/>
      </c>
    </row>
    <row r="896">
      <c r="B896" s="6" t="n"/>
      <c r="C896" s="6" t="n"/>
      <c r="E896" s="7" t="n"/>
      <c r="F896" s="7" t="n"/>
      <c r="I896" s="7">
        <f>IF(H896="","",VALUE(LEFT(H896,FIND("/",H896)-1))/VALUE(MID(H896,FIND("/",H896)+1,99)))</f>
        <v/>
      </c>
    </row>
    <row r="897">
      <c r="B897" s="6" t="n"/>
      <c r="C897" s="6" t="n"/>
      <c r="E897" s="7" t="n"/>
      <c r="F897" s="7" t="n"/>
      <c r="I897" s="7">
        <f>IF(H897="","",VALUE(LEFT(H897,FIND("/",H897)-1))/VALUE(MID(H897,FIND("/",H897)+1,99)))</f>
        <v/>
      </c>
    </row>
    <row r="898">
      <c r="B898" s="6" t="n"/>
      <c r="C898" s="6" t="n"/>
      <c r="E898" s="7" t="n"/>
      <c r="F898" s="7" t="n"/>
      <c r="I898" s="7">
        <f>IF(H898="","",VALUE(LEFT(H898,FIND("/",H898)-1))/VALUE(MID(H898,FIND("/",H898)+1,99)))</f>
        <v/>
      </c>
    </row>
    <row r="899">
      <c r="B899" s="6" t="n"/>
      <c r="C899" s="6" t="n"/>
      <c r="E899" s="7" t="n"/>
      <c r="F899" s="7" t="n"/>
      <c r="I899" s="7">
        <f>IF(H899="","",VALUE(LEFT(H899,FIND("/",H899)-1))/VALUE(MID(H899,FIND("/",H899)+1,99)))</f>
        <v/>
      </c>
    </row>
    <row r="900">
      <c r="B900" s="6" t="n"/>
      <c r="C900" s="6" t="n"/>
      <c r="E900" s="7" t="n"/>
      <c r="F900" s="7" t="n"/>
      <c r="I900" s="7">
        <f>IF(H900="","",VALUE(LEFT(H900,FIND("/",H900)-1))/VALUE(MID(H900,FIND("/",H900)+1,99)))</f>
        <v/>
      </c>
    </row>
    <row r="901">
      <c r="B901" s="6" t="n"/>
      <c r="C901" s="6" t="n"/>
      <c r="E901" s="7" t="n"/>
      <c r="F901" s="7" t="n"/>
      <c r="I901" s="7">
        <f>IF(H901="","",VALUE(LEFT(H901,FIND("/",H901)-1))/VALUE(MID(H901,FIND("/",H901)+1,99)))</f>
        <v/>
      </c>
    </row>
    <row r="902">
      <c r="B902" s="6" t="n"/>
      <c r="C902" s="6" t="n"/>
      <c r="E902" s="7" t="n"/>
      <c r="F902" s="7" t="n"/>
      <c r="I902" s="7">
        <f>IF(H902="","",VALUE(LEFT(H902,FIND("/",H902)-1))/VALUE(MID(H902,FIND("/",H902)+1,99)))</f>
        <v/>
      </c>
    </row>
    <row r="903">
      <c r="B903" s="6" t="n"/>
      <c r="C903" s="6" t="n"/>
      <c r="E903" s="7" t="n"/>
      <c r="F903" s="7" t="n"/>
      <c r="I903" s="7">
        <f>IF(H903="","",VALUE(LEFT(H903,FIND("/",H903)-1))/VALUE(MID(H903,FIND("/",H903)+1,99)))</f>
        <v/>
      </c>
    </row>
    <row r="904">
      <c r="B904" s="6" t="n"/>
      <c r="C904" s="6" t="n"/>
      <c r="E904" s="7" t="n"/>
      <c r="F904" s="7" t="n"/>
      <c r="I904" s="7">
        <f>IF(H904="","",VALUE(LEFT(H904,FIND("/",H904)-1))/VALUE(MID(H904,FIND("/",H904)+1,99)))</f>
        <v/>
      </c>
    </row>
    <row r="905">
      <c r="B905" s="6" t="n"/>
      <c r="C905" s="6" t="n"/>
      <c r="E905" s="7" t="n"/>
      <c r="F905" s="7" t="n"/>
      <c r="I905" s="7">
        <f>IF(H905="","",VALUE(LEFT(H905,FIND("/",H905)-1))/VALUE(MID(H905,FIND("/",H905)+1,99)))</f>
        <v/>
      </c>
    </row>
    <row r="906">
      <c r="B906" s="6" t="n"/>
      <c r="C906" s="6" t="n"/>
      <c r="E906" s="7" t="n"/>
      <c r="F906" s="7" t="n"/>
      <c r="I906" s="7">
        <f>IF(H906="","",VALUE(LEFT(H906,FIND("/",H906)-1))/VALUE(MID(H906,FIND("/",H906)+1,99)))</f>
        <v/>
      </c>
    </row>
    <row r="907">
      <c r="B907" s="6" t="n"/>
      <c r="C907" s="6" t="n"/>
      <c r="E907" s="7" t="n"/>
      <c r="F907" s="7" t="n"/>
      <c r="I907" s="7">
        <f>IF(H907="","",VALUE(LEFT(H907,FIND("/",H907)-1))/VALUE(MID(H907,FIND("/",H907)+1,99)))</f>
        <v/>
      </c>
    </row>
    <row r="908">
      <c r="B908" s="6" t="n"/>
      <c r="C908" s="6" t="n"/>
      <c r="E908" s="7" t="n"/>
      <c r="F908" s="7" t="n"/>
      <c r="I908" s="7">
        <f>IF(H908="","",VALUE(LEFT(H908,FIND("/",H908)-1))/VALUE(MID(H908,FIND("/",H908)+1,99)))</f>
        <v/>
      </c>
    </row>
    <row r="909">
      <c r="B909" s="6" t="n"/>
      <c r="C909" s="6" t="n"/>
      <c r="E909" s="7" t="n"/>
      <c r="F909" s="7" t="n"/>
      <c r="I909" s="7">
        <f>IF(H909="","",VALUE(LEFT(H909,FIND("/",H909)-1))/VALUE(MID(H909,FIND("/",H909)+1,99)))</f>
        <v/>
      </c>
    </row>
    <row r="910">
      <c r="B910" s="6" t="n"/>
      <c r="C910" s="6" t="n"/>
      <c r="E910" s="7" t="n"/>
      <c r="F910" s="7" t="n"/>
      <c r="I910" s="7">
        <f>IF(H910="","",VALUE(LEFT(H910,FIND("/",H910)-1))/VALUE(MID(H910,FIND("/",H910)+1,99)))</f>
        <v/>
      </c>
    </row>
    <row r="911">
      <c r="B911" s="6" t="n"/>
      <c r="C911" s="6" t="n"/>
      <c r="E911" s="7" t="n"/>
      <c r="F911" s="7" t="n"/>
      <c r="I911" s="7">
        <f>IF(H911="","",VALUE(LEFT(H911,FIND("/",H911)-1))/VALUE(MID(H911,FIND("/",H911)+1,99)))</f>
        <v/>
      </c>
    </row>
    <row r="912">
      <c r="B912" s="6" t="n"/>
      <c r="C912" s="6" t="n"/>
      <c r="E912" s="7" t="n"/>
      <c r="F912" s="7" t="n"/>
      <c r="I912" s="7">
        <f>IF(H912="","",VALUE(LEFT(H912,FIND("/",H912)-1))/VALUE(MID(H912,FIND("/",H912)+1,99)))</f>
        <v/>
      </c>
    </row>
    <row r="913">
      <c r="B913" s="6" t="n"/>
      <c r="C913" s="6" t="n"/>
      <c r="E913" s="7" t="n"/>
      <c r="F913" s="7" t="n"/>
      <c r="I913" s="7">
        <f>IF(H913="","",VALUE(LEFT(H913,FIND("/",H913)-1))/VALUE(MID(H913,FIND("/",H913)+1,99)))</f>
        <v/>
      </c>
    </row>
    <row r="914">
      <c r="B914" s="6" t="n"/>
      <c r="C914" s="6" t="n"/>
      <c r="E914" s="7" t="n"/>
      <c r="F914" s="7" t="n"/>
      <c r="I914" s="7">
        <f>IF(H914="","",VALUE(LEFT(H914,FIND("/",H914)-1))/VALUE(MID(H914,FIND("/",H914)+1,99)))</f>
        <v/>
      </c>
    </row>
    <row r="915">
      <c r="B915" s="6" t="n"/>
      <c r="C915" s="6" t="n"/>
      <c r="E915" s="7" t="n"/>
      <c r="F915" s="7" t="n"/>
      <c r="I915" s="7">
        <f>IF(H915="","",VALUE(LEFT(H915,FIND("/",H915)-1))/VALUE(MID(H915,FIND("/",H915)+1,99)))</f>
        <v/>
      </c>
    </row>
    <row r="916">
      <c r="B916" s="6" t="n"/>
      <c r="C916" s="6" t="n"/>
      <c r="E916" s="7" t="n"/>
      <c r="F916" s="7" t="n"/>
      <c r="I916" s="7">
        <f>IF(H916="","",VALUE(LEFT(H916,FIND("/",H916)-1))/VALUE(MID(H916,FIND("/",H916)+1,99)))</f>
        <v/>
      </c>
    </row>
    <row r="917">
      <c r="B917" s="6" t="n"/>
      <c r="C917" s="6" t="n"/>
      <c r="E917" s="7" t="n"/>
      <c r="F917" s="7" t="n"/>
      <c r="I917" s="7">
        <f>IF(H917="","",VALUE(LEFT(H917,FIND("/",H917)-1))/VALUE(MID(H917,FIND("/",H917)+1,99)))</f>
        <v/>
      </c>
    </row>
    <row r="918">
      <c r="B918" s="6" t="n"/>
      <c r="C918" s="6" t="n"/>
      <c r="E918" s="7" t="n"/>
      <c r="F918" s="7" t="n"/>
      <c r="I918" s="7">
        <f>IF(H918="","",VALUE(LEFT(H918,FIND("/",H918)-1))/VALUE(MID(H918,FIND("/",H918)+1,99)))</f>
        <v/>
      </c>
    </row>
    <row r="919">
      <c r="B919" s="6" t="n"/>
      <c r="C919" s="6" t="n"/>
      <c r="E919" s="7" t="n"/>
      <c r="F919" s="7" t="n"/>
      <c r="I919" s="7">
        <f>IF(H919="","",VALUE(LEFT(H919,FIND("/",H919)-1))/VALUE(MID(H919,FIND("/",H919)+1,99)))</f>
        <v/>
      </c>
    </row>
    <row r="920">
      <c r="B920" s="6" t="n"/>
      <c r="C920" s="6" t="n"/>
      <c r="E920" s="7" t="n"/>
      <c r="F920" s="7" t="n"/>
      <c r="I920" s="7">
        <f>IF(H920="","",VALUE(LEFT(H920,FIND("/",H920)-1))/VALUE(MID(H920,FIND("/",H920)+1,99)))</f>
        <v/>
      </c>
    </row>
    <row r="921">
      <c r="B921" s="6" t="n"/>
      <c r="C921" s="6" t="n"/>
      <c r="E921" s="7" t="n"/>
      <c r="F921" s="7" t="n"/>
      <c r="I921" s="7">
        <f>IF(H921="","",VALUE(LEFT(H921,FIND("/",H921)-1))/VALUE(MID(H921,FIND("/",H921)+1,99)))</f>
        <v/>
      </c>
    </row>
    <row r="922">
      <c r="B922" s="6" t="n"/>
      <c r="C922" s="6" t="n"/>
      <c r="E922" s="7" t="n"/>
      <c r="F922" s="7" t="n"/>
      <c r="I922" s="7">
        <f>IF(H922="","",VALUE(LEFT(H922,FIND("/",H922)-1))/VALUE(MID(H922,FIND("/",H922)+1,99)))</f>
        <v/>
      </c>
    </row>
    <row r="923">
      <c r="B923" s="6" t="n"/>
      <c r="C923" s="6" t="n"/>
      <c r="E923" s="7" t="n"/>
      <c r="F923" s="7" t="n"/>
      <c r="I923" s="7">
        <f>IF(H923="","",VALUE(LEFT(H923,FIND("/",H923)-1))/VALUE(MID(H923,FIND("/",H923)+1,99)))</f>
        <v/>
      </c>
    </row>
    <row r="924">
      <c r="B924" s="6" t="n"/>
      <c r="C924" s="6" t="n"/>
      <c r="E924" s="7" t="n"/>
      <c r="F924" s="7" t="n"/>
      <c r="I924" s="7">
        <f>IF(H924="","",VALUE(LEFT(H924,FIND("/",H924)-1))/VALUE(MID(H924,FIND("/",H924)+1,99)))</f>
        <v/>
      </c>
    </row>
    <row r="925">
      <c r="B925" s="6" t="n"/>
      <c r="C925" s="6" t="n"/>
      <c r="E925" s="7" t="n"/>
      <c r="F925" s="7" t="n"/>
      <c r="I925" s="7">
        <f>IF(H925="","",VALUE(LEFT(H925,FIND("/",H925)-1))/VALUE(MID(H925,FIND("/",H925)+1,99)))</f>
        <v/>
      </c>
    </row>
    <row r="926">
      <c r="B926" s="6" t="n"/>
      <c r="C926" s="6" t="n"/>
      <c r="E926" s="7" t="n"/>
      <c r="F926" s="7" t="n"/>
      <c r="I926" s="7">
        <f>IF(H926="","",VALUE(LEFT(H926,FIND("/",H926)-1))/VALUE(MID(H926,FIND("/",H926)+1,99)))</f>
        <v/>
      </c>
    </row>
    <row r="927">
      <c r="B927" s="6" t="n"/>
      <c r="C927" s="6" t="n"/>
      <c r="E927" s="7" t="n"/>
      <c r="F927" s="7" t="n"/>
      <c r="I927" s="7">
        <f>IF(H927="","",VALUE(LEFT(H927,FIND("/",H927)-1))/VALUE(MID(H927,FIND("/",H927)+1,99)))</f>
        <v/>
      </c>
    </row>
    <row r="928">
      <c r="B928" s="6" t="n"/>
      <c r="C928" s="6" t="n"/>
      <c r="E928" s="7" t="n"/>
      <c r="F928" s="7" t="n"/>
      <c r="I928" s="7">
        <f>IF(H928="","",VALUE(LEFT(H928,FIND("/",H928)-1))/VALUE(MID(H928,FIND("/",H928)+1,99)))</f>
        <v/>
      </c>
    </row>
    <row r="929">
      <c r="B929" s="6" t="n"/>
      <c r="C929" s="6" t="n"/>
      <c r="E929" s="7" t="n"/>
      <c r="F929" s="7" t="n"/>
      <c r="I929" s="7">
        <f>IF(H929="","",VALUE(LEFT(H929,FIND("/",H929)-1))/VALUE(MID(H929,FIND("/",H929)+1,99)))</f>
        <v/>
      </c>
    </row>
    <row r="930">
      <c r="B930" s="6" t="n"/>
      <c r="C930" s="6" t="n"/>
      <c r="E930" s="7" t="n"/>
      <c r="F930" s="7" t="n"/>
      <c r="I930" s="7">
        <f>IF(H930="","",VALUE(LEFT(H930,FIND("/",H930)-1))/VALUE(MID(H930,FIND("/",H930)+1,99)))</f>
        <v/>
      </c>
    </row>
    <row r="931">
      <c r="B931" s="6" t="n"/>
      <c r="C931" s="6" t="n"/>
      <c r="E931" s="7" t="n"/>
      <c r="F931" s="7" t="n"/>
      <c r="I931" s="7">
        <f>IF(H931="","",VALUE(LEFT(H931,FIND("/",H931)-1))/VALUE(MID(H931,FIND("/",H931)+1,99)))</f>
        <v/>
      </c>
    </row>
    <row r="932">
      <c r="B932" s="6" t="n"/>
      <c r="C932" s="6" t="n"/>
      <c r="E932" s="7" t="n"/>
      <c r="F932" s="7" t="n"/>
      <c r="I932" s="7">
        <f>IF(H932="","",VALUE(LEFT(H932,FIND("/",H932)-1))/VALUE(MID(H932,FIND("/",H932)+1,99)))</f>
        <v/>
      </c>
    </row>
    <row r="933">
      <c r="B933" s="6" t="n"/>
      <c r="C933" s="6" t="n"/>
      <c r="E933" s="7" t="n"/>
      <c r="F933" s="7" t="n"/>
      <c r="I933" s="7">
        <f>IF(H933="","",VALUE(LEFT(H933,FIND("/",H933)-1))/VALUE(MID(H933,FIND("/",H933)+1,99)))</f>
        <v/>
      </c>
    </row>
    <row r="934">
      <c r="B934" s="6" t="n"/>
      <c r="C934" s="6" t="n"/>
      <c r="E934" s="7" t="n"/>
      <c r="F934" s="7" t="n"/>
      <c r="I934" s="7">
        <f>IF(H934="","",VALUE(LEFT(H934,FIND("/",H934)-1))/VALUE(MID(H934,FIND("/",H934)+1,99)))</f>
        <v/>
      </c>
    </row>
    <row r="935">
      <c r="B935" s="6" t="n"/>
      <c r="C935" s="6" t="n"/>
      <c r="E935" s="7" t="n"/>
      <c r="F935" s="7" t="n"/>
      <c r="I935" s="7">
        <f>IF(H935="","",VALUE(LEFT(H935,FIND("/",H935)-1))/VALUE(MID(H935,FIND("/",H935)+1,99)))</f>
        <v/>
      </c>
    </row>
    <row r="936">
      <c r="B936" s="6" t="n"/>
      <c r="C936" s="6" t="n"/>
      <c r="E936" s="7" t="n"/>
      <c r="F936" s="7" t="n"/>
      <c r="I936" s="7">
        <f>IF(H936="","",VALUE(LEFT(H936,FIND("/",H936)-1))/VALUE(MID(H936,FIND("/",H936)+1,99)))</f>
        <v/>
      </c>
    </row>
    <row r="937">
      <c r="B937" s="6" t="n"/>
      <c r="C937" s="6" t="n"/>
      <c r="E937" s="7" t="n"/>
      <c r="F937" s="7" t="n"/>
      <c r="I937" s="7">
        <f>IF(H937="","",VALUE(LEFT(H937,FIND("/",H937)-1))/VALUE(MID(H937,FIND("/",H937)+1,99)))</f>
        <v/>
      </c>
    </row>
    <row r="938">
      <c r="B938" s="6" t="n"/>
      <c r="C938" s="6" t="n"/>
      <c r="E938" s="7" t="n"/>
      <c r="F938" s="7" t="n"/>
      <c r="I938" s="7">
        <f>IF(H938="","",VALUE(LEFT(H938,FIND("/",H938)-1))/VALUE(MID(H938,FIND("/",H938)+1,99)))</f>
        <v/>
      </c>
    </row>
    <row r="939">
      <c r="B939" s="6" t="n"/>
      <c r="C939" s="6" t="n"/>
      <c r="E939" s="7" t="n"/>
      <c r="F939" s="7" t="n"/>
      <c r="I939" s="7">
        <f>IF(H939="","",VALUE(LEFT(H939,FIND("/",H939)-1))/VALUE(MID(H939,FIND("/",H939)+1,99)))</f>
        <v/>
      </c>
    </row>
    <row r="940">
      <c r="B940" s="6" t="n"/>
      <c r="C940" s="6" t="n"/>
      <c r="E940" s="7" t="n"/>
      <c r="F940" s="7" t="n"/>
      <c r="I940" s="7">
        <f>IF(H940="","",VALUE(LEFT(H940,FIND("/",H940)-1))/VALUE(MID(H940,FIND("/",H940)+1,99)))</f>
        <v/>
      </c>
    </row>
    <row r="941">
      <c r="B941" s="6" t="n"/>
      <c r="C941" s="6" t="n"/>
      <c r="E941" s="7" t="n"/>
      <c r="F941" s="7" t="n"/>
      <c r="I941" s="7">
        <f>IF(H941="","",VALUE(LEFT(H941,FIND("/",H941)-1))/VALUE(MID(H941,FIND("/",H941)+1,99)))</f>
        <v/>
      </c>
    </row>
    <row r="942">
      <c r="B942" s="6" t="n"/>
      <c r="C942" s="6" t="n"/>
      <c r="E942" s="7" t="n"/>
      <c r="F942" s="7" t="n"/>
      <c r="I942" s="7">
        <f>IF(H942="","",VALUE(LEFT(H942,FIND("/",H942)-1))/VALUE(MID(H942,FIND("/",H942)+1,99)))</f>
        <v/>
      </c>
    </row>
    <row r="943">
      <c r="B943" s="6" t="n"/>
      <c r="C943" s="6" t="n"/>
      <c r="E943" s="7" t="n"/>
      <c r="F943" s="7" t="n"/>
      <c r="I943" s="7">
        <f>IF(H943="","",VALUE(LEFT(H943,FIND("/",H943)-1))/VALUE(MID(H943,FIND("/",H943)+1,99)))</f>
        <v/>
      </c>
    </row>
    <row r="944">
      <c r="B944" s="6" t="n"/>
      <c r="C944" s="6" t="n"/>
      <c r="E944" s="7" t="n"/>
      <c r="F944" s="7" t="n"/>
      <c r="I944" s="7">
        <f>IF(H944="","",VALUE(LEFT(H944,FIND("/",H944)-1))/VALUE(MID(H944,FIND("/",H944)+1,99)))</f>
        <v/>
      </c>
    </row>
    <row r="945">
      <c r="B945" s="6" t="n"/>
      <c r="C945" s="6" t="n"/>
      <c r="E945" s="7" t="n"/>
      <c r="F945" s="7" t="n"/>
      <c r="I945" s="7">
        <f>IF(H945="","",VALUE(LEFT(H945,FIND("/",H945)-1))/VALUE(MID(H945,FIND("/",H945)+1,99)))</f>
        <v/>
      </c>
    </row>
    <row r="946">
      <c r="B946" s="6" t="n"/>
      <c r="C946" s="6" t="n"/>
      <c r="E946" s="7" t="n"/>
      <c r="F946" s="7" t="n"/>
      <c r="I946" s="7">
        <f>IF(H946="","",VALUE(LEFT(H946,FIND("/",H946)-1))/VALUE(MID(H946,FIND("/",H946)+1,99)))</f>
        <v/>
      </c>
    </row>
    <row r="947">
      <c r="B947" s="6" t="n"/>
      <c r="C947" s="6" t="n"/>
      <c r="E947" s="7" t="n"/>
      <c r="F947" s="7" t="n"/>
      <c r="I947" s="7">
        <f>IF(H947="","",VALUE(LEFT(H947,FIND("/",H947)-1))/VALUE(MID(H947,FIND("/",H947)+1,99)))</f>
        <v/>
      </c>
    </row>
    <row r="948">
      <c r="B948" s="6" t="n"/>
      <c r="C948" s="6" t="n"/>
      <c r="E948" s="7" t="n"/>
      <c r="F948" s="7" t="n"/>
      <c r="I948" s="7">
        <f>IF(H948="","",VALUE(LEFT(H948,FIND("/",H948)-1))/VALUE(MID(H948,FIND("/",H948)+1,99)))</f>
        <v/>
      </c>
    </row>
    <row r="949">
      <c r="B949" s="6" t="n"/>
      <c r="C949" s="6" t="n"/>
      <c r="E949" s="7" t="n"/>
      <c r="F949" s="7" t="n"/>
      <c r="I949" s="7">
        <f>IF(H949="","",VALUE(LEFT(H949,FIND("/",H949)-1))/VALUE(MID(H949,FIND("/",H949)+1,99)))</f>
        <v/>
      </c>
    </row>
    <row r="950">
      <c r="B950" s="6" t="n"/>
      <c r="C950" s="6" t="n"/>
      <c r="E950" s="7" t="n"/>
      <c r="F950" s="7" t="n"/>
      <c r="I950" s="7">
        <f>IF(H950="","",VALUE(LEFT(H950,FIND("/",H950)-1))/VALUE(MID(H950,FIND("/",H950)+1,99)))</f>
        <v/>
      </c>
    </row>
    <row r="951">
      <c r="B951" s="6" t="n"/>
      <c r="C951" s="6" t="n"/>
      <c r="E951" s="7" t="n"/>
      <c r="F951" s="7" t="n"/>
      <c r="I951" s="7">
        <f>IF(H951="","",VALUE(LEFT(H951,FIND("/",H951)-1))/VALUE(MID(H951,FIND("/",H951)+1,99)))</f>
        <v/>
      </c>
    </row>
    <row r="952">
      <c r="B952" s="6" t="n"/>
      <c r="C952" s="6" t="n"/>
      <c r="E952" s="7" t="n"/>
      <c r="F952" s="7" t="n"/>
      <c r="I952" s="7">
        <f>IF(H952="","",VALUE(LEFT(H952,FIND("/",H952)-1))/VALUE(MID(H952,FIND("/",H952)+1,99)))</f>
        <v/>
      </c>
    </row>
    <row r="953">
      <c r="B953" s="6" t="n"/>
      <c r="C953" s="6" t="n"/>
      <c r="E953" s="7" t="n"/>
      <c r="F953" s="7" t="n"/>
      <c r="I953" s="7">
        <f>IF(H953="","",VALUE(LEFT(H953,FIND("/",H953)-1))/VALUE(MID(H953,FIND("/",H953)+1,99)))</f>
        <v/>
      </c>
    </row>
    <row r="954">
      <c r="B954" s="6" t="n"/>
      <c r="C954" s="6" t="n"/>
      <c r="E954" s="7" t="n"/>
      <c r="F954" s="7" t="n"/>
      <c r="I954" s="7">
        <f>IF(H954="","",VALUE(LEFT(H954,FIND("/",H954)-1))/VALUE(MID(H954,FIND("/",H954)+1,99)))</f>
        <v/>
      </c>
    </row>
    <row r="955">
      <c r="B955" s="6" t="n"/>
      <c r="C955" s="6" t="n"/>
      <c r="E955" s="7" t="n"/>
      <c r="F955" s="7" t="n"/>
      <c r="I955" s="7">
        <f>IF(H955="","",VALUE(LEFT(H955,FIND("/",H955)-1))/VALUE(MID(H955,FIND("/",H955)+1,99)))</f>
        <v/>
      </c>
    </row>
    <row r="956">
      <c r="B956" s="6" t="n"/>
      <c r="C956" s="6" t="n"/>
      <c r="E956" s="7" t="n"/>
      <c r="F956" s="7" t="n"/>
      <c r="I956" s="7">
        <f>IF(H956="","",VALUE(LEFT(H956,FIND("/",H956)-1))/VALUE(MID(H956,FIND("/",H956)+1,99)))</f>
        <v/>
      </c>
    </row>
    <row r="957">
      <c r="B957" s="6" t="n"/>
      <c r="C957" s="6" t="n"/>
      <c r="E957" s="7" t="n"/>
      <c r="F957" s="7" t="n"/>
      <c r="I957" s="7">
        <f>IF(H957="","",VALUE(LEFT(H957,FIND("/",H957)-1))/VALUE(MID(H957,FIND("/",H957)+1,99)))</f>
        <v/>
      </c>
    </row>
    <row r="958">
      <c r="B958" s="6" t="n"/>
      <c r="C958" s="6" t="n"/>
      <c r="E958" s="7" t="n"/>
      <c r="F958" s="7" t="n"/>
      <c r="I958" s="7">
        <f>IF(H958="","",VALUE(LEFT(H958,FIND("/",H958)-1))/VALUE(MID(H958,FIND("/",H958)+1,99)))</f>
        <v/>
      </c>
    </row>
    <row r="959">
      <c r="B959" s="6" t="n"/>
      <c r="C959" s="6" t="n"/>
      <c r="E959" s="7" t="n"/>
      <c r="F959" s="7" t="n"/>
      <c r="I959" s="7">
        <f>IF(H959="","",VALUE(LEFT(H959,FIND("/",H959)-1))/VALUE(MID(H959,FIND("/",H959)+1,99)))</f>
        <v/>
      </c>
    </row>
    <row r="960">
      <c r="B960" s="6" t="n"/>
      <c r="C960" s="6" t="n"/>
      <c r="E960" s="7" t="n"/>
      <c r="F960" s="7" t="n"/>
      <c r="I960" s="7">
        <f>IF(H960="","",VALUE(LEFT(H960,FIND("/",H960)-1))/VALUE(MID(H960,FIND("/",H960)+1,99)))</f>
        <v/>
      </c>
    </row>
    <row r="961">
      <c r="B961" s="6" t="n"/>
      <c r="C961" s="6" t="n"/>
      <c r="E961" s="7" t="n"/>
      <c r="F961" s="7" t="n"/>
      <c r="I961" s="7">
        <f>IF(H961="","",VALUE(LEFT(H961,FIND("/",H961)-1))/VALUE(MID(H961,FIND("/",H961)+1,99)))</f>
        <v/>
      </c>
    </row>
    <row r="962">
      <c r="B962" s="6" t="n"/>
      <c r="C962" s="6" t="n"/>
      <c r="E962" s="7" t="n"/>
      <c r="F962" s="7" t="n"/>
      <c r="I962" s="7">
        <f>IF(H962="","",VALUE(LEFT(H962,FIND("/",H962)-1))/VALUE(MID(H962,FIND("/",H962)+1,99)))</f>
        <v/>
      </c>
    </row>
    <row r="963">
      <c r="B963" s="6" t="n"/>
      <c r="C963" s="6" t="n"/>
      <c r="E963" s="7" t="n"/>
      <c r="F963" s="7" t="n"/>
      <c r="I963" s="7">
        <f>IF(H963="","",VALUE(LEFT(H963,FIND("/",H963)-1))/VALUE(MID(H963,FIND("/",H963)+1,99)))</f>
        <v/>
      </c>
    </row>
    <row r="964">
      <c r="B964" s="6" t="n"/>
      <c r="C964" s="6" t="n"/>
      <c r="E964" s="7" t="n"/>
      <c r="F964" s="7" t="n"/>
      <c r="I964" s="7">
        <f>IF(H964="","",VALUE(LEFT(H964,FIND("/",H964)-1))/VALUE(MID(H964,FIND("/",H964)+1,99)))</f>
        <v/>
      </c>
    </row>
    <row r="965">
      <c r="B965" s="6" t="n"/>
      <c r="C965" s="6" t="n"/>
      <c r="E965" s="7" t="n"/>
      <c r="F965" s="7" t="n"/>
      <c r="I965" s="7">
        <f>IF(H965="","",VALUE(LEFT(H965,FIND("/",H965)-1))/VALUE(MID(H965,FIND("/",H965)+1,99)))</f>
        <v/>
      </c>
    </row>
    <row r="966">
      <c r="B966" s="6" t="n"/>
      <c r="C966" s="6" t="n"/>
      <c r="E966" s="7" t="n"/>
      <c r="F966" s="7" t="n"/>
      <c r="I966" s="7">
        <f>IF(H966="","",VALUE(LEFT(H966,FIND("/",H966)-1))/VALUE(MID(H966,FIND("/",H966)+1,99)))</f>
        <v/>
      </c>
    </row>
    <row r="967">
      <c r="B967" s="6" t="n"/>
      <c r="C967" s="6" t="n"/>
      <c r="E967" s="7" t="n"/>
      <c r="F967" s="7" t="n"/>
      <c r="I967" s="7">
        <f>IF(H967="","",VALUE(LEFT(H967,FIND("/",H967)-1))/VALUE(MID(H967,FIND("/",H967)+1,99)))</f>
        <v/>
      </c>
    </row>
    <row r="968">
      <c r="B968" s="6" t="n"/>
      <c r="C968" s="6" t="n"/>
      <c r="E968" s="7" t="n"/>
      <c r="F968" s="7" t="n"/>
      <c r="I968" s="7">
        <f>IF(H968="","",VALUE(LEFT(H968,FIND("/",H968)-1))/VALUE(MID(H968,FIND("/",H968)+1,99)))</f>
        <v/>
      </c>
    </row>
    <row r="969">
      <c r="B969" s="6" t="n"/>
      <c r="C969" s="6" t="n"/>
      <c r="E969" s="7" t="n"/>
      <c r="F969" s="7" t="n"/>
      <c r="I969" s="7">
        <f>IF(H969="","",VALUE(LEFT(H969,FIND("/",H969)-1))/VALUE(MID(H969,FIND("/",H969)+1,99)))</f>
        <v/>
      </c>
    </row>
    <row r="970">
      <c r="B970" s="6" t="n"/>
      <c r="C970" s="6" t="n"/>
      <c r="E970" s="7" t="n"/>
      <c r="F970" s="7" t="n"/>
      <c r="I970" s="7">
        <f>IF(H970="","",VALUE(LEFT(H970,FIND("/",H970)-1))/VALUE(MID(H970,FIND("/",H970)+1,99)))</f>
        <v/>
      </c>
    </row>
    <row r="971">
      <c r="B971" s="6" t="n"/>
      <c r="C971" s="6" t="n"/>
      <c r="E971" s="7" t="n"/>
      <c r="F971" s="7" t="n"/>
      <c r="I971" s="7">
        <f>IF(H971="","",VALUE(LEFT(H971,FIND("/",H971)-1))/VALUE(MID(H971,FIND("/",H971)+1,99)))</f>
        <v/>
      </c>
    </row>
    <row r="972">
      <c r="B972" s="6" t="n"/>
      <c r="C972" s="6" t="n"/>
      <c r="E972" s="7" t="n"/>
      <c r="F972" s="7" t="n"/>
      <c r="I972" s="7">
        <f>IF(H972="","",VALUE(LEFT(H972,FIND("/",H972)-1))/VALUE(MID(H972,FIND("/",H972)+1,99)))</f>
        <v/>
      </c>
    </row>
    <row r="973">
      <c r="B973" s="6" t="n"/>
      <c r="C973" s="6" t="n"/>
      <c r="E973" s="7" t="n"/>
      <c r="F973" s="7" t="n"/>
      <c r="I973" s="7">
        <f>IF(H973="","",VALUE(LEFT(H973,FIND("/",H973)-1))/VALUE(MID(H973,FIND("/",H973)+1,99)))</f>
        <v/>
      </c>
    </row>
    <row r="974">
      <c r="B974" s="6" t="n"/>
      <c r="C974" s="6" t="n"/>
      <c r="E974" s="7" t="n"/>
      <c r="F974" s="7" t="n"/>
      <c r="I974" s="7">
        <f>IF(H974="","",VALUE(LEFT(H974,FIND("/",H974)-1))/VALUE(MID(H974,FIND("/",H974)+1,99)))</f>
        <v/>
      </c>
    </row>
    <row r="975">
      <c r="B975" s="6" t="n"/>
      <c r="C975" s="6" t="n"/>
      <c r="E975" s="7" t="n"/>
      <c r="F975" s="7" t="n"/>
      <c r="I975" s="7">
        <f>IF(H975="","",VALUE(LEFT(H975,FIND("/",H975)-1))/VALUE(MID(H975,FIND("/",H975)+1,99)))</f>
        <v/>
      </c>
    </row>
    <row r="976">
      <c r="B976" s="6" t="n"/>
      <c r="C976" s="6" t="n"/>
      <c r="E976" s="7" t="n"/>
      <c r="F976" s="7" t="n"/>
      <c r="I976" s="7">
        <f>IF(H976="","",VALUE(LEFT(H976,FIND("/",H976)-1))/VALUE(MID(H976,FIND("/",H976)+1,99)))</f>
        <v/>
      </c>
    </row>
    <row r="977">
      <c r="B977" s="6" t="n"/>
      <c r="C977" s="6" t="n"/>
      <c r="E977" s="7" t="n"/>
      <c r="F977" s="7" t="n"/>
      <c r="I977" s="7">
        <f>IF(H977="","",VALUE(LEFT(H977,FIND("/",H977)-1))/VALUE(MID(H977,FIND("/",H977)+1,99)))</f>
        <v/>
      </c>
    </row>
    <row r="978">
      <c r="B978" s="6" t="n"/>
      <c r="C978" s="6" t="n"/>
      <c r="E978" s="7" t="n"/>
      <c r="F978" s="7" t="n"/>
      <c r="I978" s="7">
        <f>IF(H978="","",VALUE(LEFT(H978,FIND("/",H978)-1))/VALUE(MID(H978,FIND("/",H978)+1,99)))</f>
        <v/>
      </c>
    </row>
    <row r="979">
      <c r="B979" s="6" t="n"/>
      <c r="C979" s="6" t="n"/>
      <c r="E979" s="7" t="n"/>
      <c r="F979" s="7" t="n"/>
      <c r="I979" s="7">
        <f>IF(H979="","",VALUE(LEFT(H979,FIND("/",H979)-1))/VALUE(MID(H979,FIND("/",H979)+1,99)))</f>
        <v/>
      </c>
    </row>
    <row r="980">
      <c r="B980" s="6" t="n"/>
      <c r="C980" s="6" t="n"/>
      <c r="E980" s="7" t="n"/>
      <c r="F980" s="7" t="n"/>
      <c r="I980" s="7">
        <f>IF(H980="","",VALUE(LEFT(H980,FIND("/",H980)-1))/VALUE(MID(H980,FIND("/",H980)+1,99)))</f>
        <v/>
      </c>
    </row>
    <row r="981">
      <c r="B981" s="6" t="n"/>
      <c r="C981" s="6" t="n"/>
      <c r="E981" s="7" t="n"/>
      <c r="F981" s="7" t="n"/>
      <c r="I981" s="7">
        <f>IF(H981="","",VALUE(LEFT(H981,FIND("/",H981)-1))/VALUE(MID(H981,FIND("/",H981)+1,99)))</f>
        <v/>
      </c>
    </row>
    <row r="982">
      <c r="B982" s="6" t="n"/>
      <c r="C982" s="6" t="n"/>
      <c r="E982" s="7" t="n"/>
      <c r="F982" s="7" t="n"/>
      <c r="I982" s="7">
        <f>IF(H982="","",VALUE(LEFT(H982,FIND("/",H982)-1))/VALUE(MID(H982,FIND("/",H982)+1,99)))</f>
        <v/>
      </c>
    </row>
    <row r="983">
      <c r="B983" s="6" t="n"/>
      <c r="C983" s="6" t="n"/>
      <c r="E983" s="7" t="n"/>
      <c r="F983" s="7" t="n"/>
      <c r="I983" s="7">
        <f>IF(H983="","",VALUE(LEFT(H983,FIND("/",H983)-1))/VALUE(MID(H983,FIND("/",H983)+1,99)))</f>
        <v/>
      </c>
    </row>
    <row r="984">
      <c r="B984" s="6" t="n"/>
      <c r="C984" s="6" t="n"/>
      <c r="E984" s="7" t="n"/>
      <c r="F984" s="7" t="n"/>
      <c r="I984" s="7">
        <f>IF(H984="","",VALUE(LEFT(H984,FIND("/",H984)-1))/VALUE(MID(H984,FIND("/",H984)+1,99)))</f>
        <v/>
      </c>
    </row>
    <row r="985">
      <c r="B985" s="6" t="n"/>
      <c r="C985" s="6" t="n"/>
      <c r="E985" s="7" t="n"/>
      <c r="F985" s="7" t="n"/>
      <c r="I985" s="7">
        <f>IF(H985="","",VALUE(LEFT(H985,FIND("/",H985)-1))/VALUE(MID(H985,FIND("/",H985)+1,99)))</f>
        <v/>
      </c>
    </row>
    <row r="986">
      <c r="B986" s="6" t="n"/>
      <c r="C986" s="6" t="n"/>
      <c r="E986" s="7" t="n"/>
      <c r="F986" s="7" t="n"/>
      <c r="I986" s="7">
        <f>IF(H986="","",VALUE(LEFT(H986,FIND("/",H986)-1))/VALUE(MID(H986,FIND("/",H986)+1,99)))</f>
        <v/>
      </c>
    </row>
    <row r="987">
      <c r="B987" s="6" t="n"/>
      <c r="C987" s="6" t="n"/>
      <c r="E987" s="7" t="n"/>
      <c r="F987" s="7" t="n"/>
      <c r="I987" s="7">
        <f>IF(H987="","",VALUE(LEFT(H987,FIND("/",H987)-1))/VALUE(MID(H987,FIND("/",H987)+1,99)))</f>
        <v/>
      </c>
    </row>
    <row r="988">
      <c r="B988" s="6" t="n"/>
      <c r="C988" s="6" t="n"/>
      <c r="E988" s="7" t="n"/>
      <c r="F988" s="7" t="n"/>
      <c r="I988" s="7">
        <f>IF(H988="","",VALUE(LEFT(H988,FIND("/",H988)-1))/VALUE(MID(H988,FIND("/",H988)+1,99)))</f>
        <v/>
      </c>
    </row>
    <row r="989">
      <c r="B989" s="6" t="n"/>
      <c r="C989" s="6" t="n"/>
      <c r="E989" s="7" t="n"/>
      <c r="F989" s="7" t="n"/>
      <c r="I989" s="7">
        <f>IF(H989="","",VALUE(LEFT(H989,FIND("/",H989)-1))/VALUE(MID(H989,FIND("/",H989)+1,99)))</f>
        <v/>
      </c>
    </row>
    <row r="990">
      <c r="B990" s="6" t="n"/>
      <c r="C990" s="6" t="n"/>
      <c r="E990" s="7" t="n"/>
      <c r="F990" s="7" t="n"/>
      <c r="I990" s="7">
        <f>IF(H990="","",VALUE(LEFT(H990,FIND("/",H990)-1))/VALUE(MID(H990,FIND("/",H990)+1,99)))</f>
        <v/>
      </c>
    </row>
    <row r="991">
      <c r="B991" s="6" t="n"/>
      <c r="C991" s="6" t="n"/>
      <c r="E991" s="7" t="n"/>
      <c r="F991" s="7" t="n"/>
      <c r="I991" s="7">
        <f>IF(H991="","",VALUE(LEFT(H991,FIND("/",H991)-1))/VALUE(MID(H991,FIND("/",H991)+1,99)))</f>
        <v/>
      </c>
    </row>
    <row r="992">
      <c r="B992" s="6" t="n"/>
      <c r="C992" s="6" t="n"/>
      <c r="E992" s="7" t="n"/>
      <c r="F992" s="7" t="n"/>
      <c r="I992" s="7">
        <f>IF(H992="","",VALUE(LEFT(H992,FIND("/",H992)-1))/VALUE(MID(H992,FIND("/",H992)+1,99)))</f>
        <v/>
      </c>
    </row>
    <row r="993">
      <c r="B993" s="6" t="n"/>
      <c r="C993" s="6" t="n"/>
      <c r="E993" s="7" t="n"/>
      <c r="F993" s="7" t="n"/>
      <c r="I993" s="7">
        <f>IF(H993="","",VALUE(LEFT(H993,FIND("/",H993)-1))/VALUE(MID(H993,FIND("/",H993)+1,99)))</f>
        <v/>
      </c>
    </row>
    <row r="994">
      <c r="B994" s="6" t="n"/>
      <c r="C994" s="6" t="n"/>
      <c r="E994" s="7" t="n"/>
      <c r="F994" s="7" t="n"/>
      <c r="I994" s="7">
        <f>IF(H994="","",VALUE(LEFT(H994,FIND("/",H994)-1))/VALUE(MID(H994,FIND("/",H994)+1,99)))</f>
        <v/>
      </c>
    </row>
    <row r="995">
      <c r="B995" s="6" t="n"/>
      <c r="C995" s="6" t="n"/>
      <c r="E995" s="7" t="n"/>
      <c r="F995" s="7" t="n"/>
      <c r="I995" s="7">
        <f>IF(H995="","",VALUE(LEFT(H995,FIND("/",H995)-1))/VALUE(MID(H995,FIND("/",H995)+1,99)))</f>
        <v/>
      </c>
    </row>
    <row r="996">
      <c r="B996" s="6" t="n"/>
      <c r="C996" s="6" t="n"/>
      <c r="E996" s="7" t="n"/>
      <c r="F996" s="7" t="n"/>
      <c r="I996" s="7">
        <f>IF(H996="","",VALUE(LEFT(H996,FIND("/",H996)-1))/VALUE(MID(H996,FIND("/",H996)+1,99)))</f>
        <v/>
      </c>
    </row>
    <row r="997">
      <c r="B997" s="6" t="n"/>
      <c r="C997" s="6" t="n"/>
      <c r="E997" s="7" t="n"/>
      <c r="F997" s="7" t="n"/>
      <c r="I997" s="7">
        <f>IF(H997="","",VALUE(LEFT(H997,FIND("/",H997)-1))/VALUE(MID(H997,FIND("/",H997)+1,99)))</f>
        <v/>
      </c>
    </row>
    <row r="998">
      <c r="B998" s="6" t="n"/>
      <c r="C998" s="6" t="n"/>
      <c r="E998" s="7" t="n"/>
      <c r="F998" s="7" t="n"/>
      <c r="I998" s="7">
        <f>IF(H998="","",VALUE(LEFT(H998,FIND("/",H998)-1))/VALUE(MID(H998,FIND("/",H998)+1,99)))</f>
        <v/>
      </c>
    </row>
    <row r="999">
      <c r="B999" s="6" t="n"/>
      <c r="C999" s="6" t="n"/>
      <c r="E999" s="7" t="n"/>
      <c r="F999" s="7" t="n"/>
      <c r="I999" s="7">
        <f>IF(H999="","",VALUE(LEFT(H999,FIND("/",H999)-1))/VALUE(MID(H999,FIND("/",H999)+1,99)))</f>
        <v/>
      </c>
    </row>
    <row r="1000">
      <c r="B1000" s="6" t="n"/>
      <c r="C1000" s="6" t="n"/>
      <c r="E1000" s="7" t="n"/>
      <c r="F1000" s="7" t="n"/>
      <c r="I1000" s="7">
        <f>IF(H1000="","",VALUE(LEFT(H1000,FIND("/",H1000)-1))/VALUE(MID(H1000,FIND("/",H1000)+1,99)))</f>
        <v/>
      </c>
    </row>
    <row r="1001">
      <c r="B1001" s="6" t="n"/>
      <c r="C1001" s="6" t="n"/>
      <c r="E1001" s="7" t="n"/>
      <c r="F1001" s="7" t="n"/>
      <c r="I1001" s="7">
        <f>IF(H1001="","",VALUE(LEFT(H1001,FIND("/",H1001)-1))/VALUE(MID(H1001,FIND("/",H1001)+1,99)))</f>
        <v/>
      </c>
    </row>
    <row r="1002">
      <c r="B1002" s="6" t="n"/>
      <c r="C1002" s="6" t="n"/>
      <c r="E1002" s="7" t="n"/>
      <c r="F1002" s="7" t="n"/>
      <c r="I1002" s="7">
        <f>IF(H1002="","",VALUE(LEFT(H1002,FIND("/",H1002)-1))/VALUE(MID(H1002,FIND("/",H1002)+1,99)))</f>
        <v/>
      </c>
    </row>
    <row r="1003">
      <c r="B1003" s="6" t="n"/>
      <c r="C1003" s="6" t="n"/>
      <c r="E1003" s="7" t="n"/>
      <c r="F1003" s="7" t="n"/>
      <c r="I1003" s="7">
        <f>IF(H1003="","",VALUE(LEFT(H1003,FIND("/",H1003)-1))/VALUE(MID(H1003,FIND("/",H1003)+1,99)))</f>
        <v/>
      </c>
    </row>
    <row r="1004">
      <c r="B1004" s="6" t="n"/>
      <c r="C1004" s="6" t="n"/>
      <c r="E1004" s="7" t="n"/>
      <c r="F1004" s="7" t="n"/>
      <c r="I1004" s="7">
        <f>IF(H1004="","",VALUE(LEFT(H1004,FIND("/",H1004)-1))/VALUE(MID(H1004,FIND("/",H1004)+1,99)))</f>
        <v/>
      </c>
    </row>
  </sheetData>
  <mergeCells count="3">
    <mergeCell ref="A102:J102"/>
    <mergeCell ref="A149:J149"/>
    <mergeCell ref="A138:J138"/>
  </mergeCells>
  <dataValidations count="2">
    <dataValidation sqref="E2:E76 E78:E101 E103:E137 E139:E148 E150:E1004" showDropDown="0" showInputMessage="0" showErrorMessage="1" allowBlank="1" type="list">
      <formula1>"Fresh Food,Groceries"</formula1>
    </dataValidation>
    <dataValidation sqref="F2:F76 F78:F101 F103:F137 F139:F148 F150:F1004" showDropDown="0" showInputMessage="0" showErrorMessage="1" allowBlank="1" type="list">
      <formula1>"Dairy,Meat,Seafood,Instant Noodles,Snacks,Canned Goods,Condiments,Sauces,Oils,Bread &amp; Bakery,Rice &amp; Noodles,Cereal,Confectionary,Chips,Crackers,Biscuits,Drinks,Juices,Water,Soda,Tea,Coffee,Alcohol,Frozen Meat,Frozen Vegetables,Frozen Desserts,Ice Cream,Ho"&amp;"usehold,Toiletries,Cleaning Supplies,Eggs,Tofu,Fruit,Vegetables,Pickles,Spices,Herbs,Seasonings,Health Supplements"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2026-09-09T10:14:18Z</dcterms:created>
  <dcterms:modified xsi:type="dcterms:W3CDTF">2026-09-09T10:14:18Z</dcterms:modified>
</cp:coreProperties>
</file>